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8975" windowHeight="12465" activeTab="2"/>
  </bookViews>
  <sheets>
    <sheet name="Cover" sheetId="2" r:id="rId1"/>
    <sheet name="MarketData" sheetId="3" r:id="rId2"/>
    <sheet name="Example" sheetId="15" r:id="rId3"/>
  </sheets>
  <functionGroups/>
  <calcPr calcId="125725"/>
</workbook>
</file>

<file path=xl/calcChain.xml><?xml version="1.0" encoding="utf-8"?>
<calcChain xmlns="http://schemas.openxmlformats.org/spreadsheetml/2006/main">
  <c r="T22" i="15"/>
  <c r="T21"/>
  <c r="T20"/>
  <c r="R20"/>
  <c r="T19"/>
  <c r="R19"/>
  <c r="T18"/>
  <c r="R18"/>
  <c r="T17"/>
  <c r="R17"/>
  <c r="P17"/>
  <c r="N17"/>
  <c r="L17"/>
  <c r="J17"/>
  <c r="T16"/>
  <c r="R16"/>
  <c r="P16"/>
  <c r="N16"/>
  <c r="L16"/>
  <c r="L10"/>
  <c r="L9"/>
  <c r="G27"/>
  <c r="L8"/>
  <c r="F26"/>
  <c r="B26"/>
  <c r="G26"/>
  <c r="C26"/>
  <c r="L7"/>
  <c r="F25"/>
  <c r="B25"/>
  <c r="G25"/>
  <c r="E25"/>
  <c r="L6"/>
  <c r="F24"/>
  <c r="D24"/>
  <c r="G24"/>
  <c r="E24"/>
  <c r="M5"/>
  <c r="L5"/>
  <c r="F23"/>
  <c r="D23"/>
  <c r="G23"/>
  <c r="E23"/>
  <c r="C23"/>
  <c r="B23"/>
  <c r="M4" a="1"/>
  <c r="Q4"/>
  <c r="N4"/>
  <c r="P4"/>
  <c r="R4"/>
  <c r="R10"/>
  <c r="M4"/>
  <c r="O4"/>
  <c r="G28"/>
  <c r="P10"/>
  <c r="P9"/>
  <c r="P8"/>
  <c r="N7"/>
  <c r="O10"/>
  <c r="M10"/>
  <c r="O9"/>
  <c r="M9"/>
  <c r="O7"/>
  <c r="M6"/>
  <c r="N10"/>
  <c r="N9"/>
  <c r="N6"/>
  <c r="Q10"/>
  <c r="Q9"/>
  <c r="O8"/>
  <c r="F27"/>
  <c r="C24"/>
  <c r="C28"/>
  <c r="D25"/>
  <c r="D27"/>
  <c r="D28"/>
  <c r="E26"/>
  <c r="E28"/>
  <c r="D26"/>
  <c r="F28"/>
  <c r="C27"/>
  <c r="B24"/>
  <c r="B27"/>
  <c r="B28"/>
  <c r="C25"/>
  <c r="E27"/>
  <c r="B31" a="1"/>
  <c r="G36"/>
  <c r="C36"/>
  <c r="G35"/>
  <c r="C35"/>
  <c r="E34"/>
  <c r="G33"/>
  <c r="C33"/>
  <c r="C32"/>
  <c r="E31"/>
  <c r="F36"/>
  <c r="D36"/>
  <c r="B36"/>
  <c r="F35"/>
  <c r="D35"/>
  <c r="B35"/>
  <c r="F34"/>
  <c r="D34"/>
  <c r="B34"/>
  <c r="F33"/>
  <c r="D33"/>
  <c r="B33"/>
  <c r="F32"/>
  <c r="D32"/>
  <c r="B32"/>
  <c r="F31"/>
  <c r="D31"/>
  <c r="B31"/>
  <c r="E36"/>
  <c r="E35"/>
  <c r="G34"/>
  <c r="C34"/>
  <c r="E33"/>
  <c r="G32"/>
  <c r="E32"/>
  <c r="G31"/>
  <c r="C31"/>
  <c r="B39" a="1"/>
  <c r="G44"/>
  <c r="E44"/>
  <c r="C44"/>
  <c r="G43"/>
  <c r="E43"/>
  <c r="C43"/>
  <c r="G42"/>
  <c r="E42"/>
  <c r="C42"/>
  <c r="G41"/>
  <c r="E41"/>
  <c r="C41"/>
  <c r="G40"/>
  <c r="E40"/>
  <c r="C40"/>
  <c r="G39"/>
  <c r="E39"/>
  <c r="C39"/>
  <c r="F44"/>
  <c r="D44"/>
  <c r="B44"/>
  <c r="F43"/>
  <c r="D43"/>
  <c r="B43"/>
  <c r="F42"/>
  <c r="D42"/>
  <c r="B42"/>
  <c r="F41"/>
  <c r="D41"/>
  <c r="B41"/>
  <c r="F40"/>
  <c r="D40"/>
  <c r="B40"/>
  <c r="F39"/>
  <c r="D39"/>
  <c r="B39"/>
  <c r="I10"/>
  <c r="I8"/>
  <c r="I6"/>
  <c r="I9"/>
  <c r="I7"/>
  <c r="I5"/>
  <c r="K5"/>
  <c r="K7"/>
  <c r="K9"/>
  <c r="K6"/>
  <c r="K8"/>
  <c r="K10"/>
</calcChain>
</file>

<file path=xl/sharedStrings.xml><?xml version="1.0" encoding="utf-8"?>
<sst xmlns="http://schemas.openxmlformats.org/spreadsheetml/2006/main" count="75" uniqueCount="61">
  <si>
    <t>Rate curve</t>
  </si>
  <si>
    <t>Horizon</t>
  </si>
  <si>
    <t>DV01 Zero</t>
  </si>
  <si>
    <t>DV01 Par</t>
  </si>
  <si>
    <t>Error</t>
  </si>
  <si>
    <t>Conversion Matrix</t>
  </si>
  <si>
    <t>Type</t>
  </si>
  <si>
    <t>Start</t>
  </si>
  <si>
    <t>End</t>
  </si>
  <si>
    <t>Dg</t>
  </si>
  <si>
    <t>Sf</t>
  </si>
  <si>
    <t>Sw</t>
  </si>
  <si>
    <t>Mx DV01 par</t>
  </si>
  <si>
    <t>Zero rate</t>
  </si>
  <si>
    <t>dM/dZ</t>
  </si>
  <si>
    <t>Inverse of dM/dZ</t>
  </si>
  <si>
    <t>DF</t>
  </si>
  <si>
    <t>dNPV/dz</t>
  </si>
  <si>
    <t>Support calc. for dNPV/dz</t>
  </si>
  <si>
    <t>Depo1</t>
  </si>
  <si>
    <t>Sensi. Date</t>
  </si>
  <si>
    <t>Depo2</t>
  </si>
  <si>
    <t>Futures1</t>
  </si>
  <si>
    <t>Futures2</t>
  </si>
  <si>
    <t>Swap1</t>
  </si>
  <si>
    <t>Swap2</t>
  </si>
  <si>
    <t>MQ</t>
  </si>
  <si>
    <t>Transpose of inverse of dM/dZ</t>
  </si>
  <si>
    <t>Methodology to compute DV01 par from DV01 zero</t>
  </si>
  <si>
    <t>Conventions</t>
  </si>
  <si>
    <t>Curve calibration</t>
  </si>
  <si>
    <t>No estimation</t>
  </si>
  <si>
    <t>Swap fixed leg</t>
  </si>
  <si>
    <t>LIN 30/360</t>
  </si>
  <si>
    <t>Deposit</t>
  </si>
  <si>
    <t>LIN ACT/360</t>
  </si>
  <si>
    <t>Futures</t>
  </si>
  <si>
    <r>
      <t>1. The general formula that relates DV01 par (</t>
    </r>
    <r>
      <rPr>
        <b/>
        <sz val="10"/>
        <color indexed="10"/>
        <rFont val="Calibri"/>
        <family val="2"/>
      </rPr>
      <t>sensitivity with respect to market rate</t>
    </r>
    <r>
      <rPr>
        <sz val="10"/>
        <color theme="1"/>
        <rFont val="Calibri"/>
        <family val="2"/>
      </rPr>
      <t>) and DV01 zero (</t>
    </r>
    <r>
      <rPr>
        <b/>
        <sz val="10"/>
        <color indexed="10"/>
        <rFont val="Calibri"/>
        <family val="2"/>
      </rPr>
      <t>sensitivity with respect to zero rate</t>
    </r>
    <r>
      <rPr>
        <sz val="10"/>
        <color theme="1"/>
        <rFont val="Calibri"/>
        <family val="2"/>
      </rPr>
      <t xml:space="preserve">) is: </t>
    </r>
  </si>
  <si>
    <t>2. To compute members in the dMdZ matrix:</t>
  </si>
  <si>
    <t>Target Value (A)</t>
  </si>
  <si>
    <t>dNPV/dm</t>
  </si>
  <si>
    <t>(B)</t>
  </si>
  <si>
    <t>dNPV/dz (D)</t>
  </si>
  <si>
    <t xml:space="preserve">    In this spread sheet dNPV/dm are computed in table (B), dNPV/dz are computed in table (D)</t>
  </si>
  <si>
    <r>
      <t xml:space="preserve">3. Formula to calculate dNPV/dm for </t>
    </r>
    <r>
      <rPr>
        <b/>
        <sz val="10"/>
        <color indexed="10"/>
        <rFont val="Calibri"/>
        <family val="2"/>
      </rPr>
      <t>deposit</t>
    </r>
    <r>
      <rPr>
        <sz val="10"/>
        <color theme="1"/>
        <rFont val="Calibri"/>
        <family val="2"/>
      </rPr>
      <t xml:space="preserve">, </t>
    </r>
    <r>
      <rPr>
        <b/>
        <sz val="10"/>
        <color indexed="10"/>
        <rFont val="Calibri"/>
        <family val="2"/>
      </rPr>
      <t>short futures</t>
    </r>
    <r>
      <rPr>
        <sz val="10"/>
        <color theme="1"/>
        <rFont val="Calibri"/>
        <family val="2"/>
      </rPr>
      <t xml:space="preserve"> (no convexity) and </t>
    </r>
    <r>
      <rPr>
        <b/>
        <sz val="10"/>
        <color indexed="10"/>
        <rFont val="Calibri"/>
        <family val="2"/>
      </rPr>
      <t>swap</t>
    </r>
    <r>
      <rPr>
        <sz val="10"/>
        <color theme="1"/>
        <rFont val="Calibri"/>
        <family val="2"/>
      </rPr>
      <t xml:space="preserve"> (no estimation):</t>
    </r>
  </si>
  <si>
    <t>4. For computing dNPV/dZ, please refer to spreadsheet "Swap_DV01Zero_Analytical" for details.</t>
  </si>
  <si>
    <t>1. DV01 par can be seen by changing the flag on right hand side in Simulation/Rate tab</t>
  </si>
  <si>
    <t>Compute DV01 par given DV01 zero</t>
  </si>
  <si>
    <t>Test Environment</t>
  </si>
  <si>
    <t>Internal version code: 3.1.13b.5mlp</t>
  </si>
  <si>
    <t>Build id: 787887-080609-1939-290278</t>
  </si>
  <si>
    <t>Description</t>
  </si>
  <si>
    <t xml:space="preserve">Given an instrument and a rate curve, DV01 par is the instrument's sensitivity with respect to market rates of the curve. </t>
  </si>
  <si>
    <t>DV01 zero is the sensitivity to the zero rates of the curve.</t>
  </si>
  <si>
    <t>Since the zero rates are calibrated out of the market rates (zero rates are such that NPV of instruments in the curve are zero given the market rates),</t>
  </si>
  <si>
    <t>a relationship can be worked out between DV01 par and DV01 zero.</t>
  </si>
  <si>
    <t>In fact, the DV01 zero vector and DV01 par vector are related by the matrix dMdZ.</t>
  </si>
  <si>
    <t>For each curve, dMdZ can be computed, and the DV01 par can be calculated from DV01 zero with it.</t>
  </si>
  <si>
    <t>This spread sheet provides a simple example of how dMdZ is calculated and used to convert the DV01s.</t>
  </si>
  <si>
    <t>It's simple in the sense that there're only 6 instruments in the curve, 2 deposits, 2 futures and 2 swaps.</t>
  </si>
  <si>
    <t>The futures have no convexity adjustments and the swaps do not have floating leg rates estimated.</t>
  </si>
</sst>
</file>

<file path=xl/styles.xml><?xml version="1.0" encoding="utf-8"?>
<styleSheet xmlns="http://schemas.openxmlformats.org/spreadsheetml/2006/main">
  <numFmts count="3">
    <numFmt numFmtId="172" formatCode="#,##0.000"/>
    <numFmt numFmtId="173" formatCode="#,##0.0000"/>
    <numFmt numFmtId="176" formatCode="#,##0.0"/>
  </numFmts>
  <fonts count="13">
    <font>
      <sz val="10"/>
      <color theme="1"/>
      <name val="Calibri"/>
      <family val="2"/>
    </font>
    <font>
      <b/>
      <sz val="10"/>
      <color indexed="10"/>
      <name val="Calibri"/>
      <family val="2"/>
    </font>
    <font>
      <sz val="10"/>
      <name val="Arial"/>
      <family val="2"/>
    </font>
    <font>
      <b/>
      <sz val="10"/>
      <color theme="0"/>
      <name val="Calibri"/>
      <family val="2"/>
    </font>
    <font>
      <sz val="10"/>
      <color theme="1"/>
      <name val="Arial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6"/>
      <color theme="1"/>
      <name val="Calibri"/>
      <family val="2"/>
    </font>
    <font>
      <b/>
      <sz val="28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4" fillId="0" borderId="0"/>
  </cellStyleXfs>
  <cellXfs count="49">
    <xf numFmtId="0" fontId="0" fillId="0" borderId="0" xfId="0"/>
    <xf numFmtId="0" fontId="6" fillId="2" borderId="0" xfId="0" applyFont="1" applyFill="1"/>
    <xf numFmtId="0" fontId="7" fillId="0" borderId="0" xfId="0" applyFont="1"/>
    <xf numFmtId="0" fontId="6" fillId="3" borderId="0" xfId="0" applyFont="1" applyFill="1" applyAlignment="1">
      <alignment horizontal="center"/>
    </xf>
    <xf numFmtId="14" fontId="7" fillId="0" borderId="0" xfId="0" applyNumberFormat="1" applyFont="1"/>
    <xf numFmtId="4" fontId="7" fillId="0" borderId="0" xfId="0" applyNumberFormat="1" applyFont="1"/>
    <xf numFmtId="0" fontId="7" fillId="0" borderId="0" xfId="0" applyFont="1" applyFill="1"/>
    <xf numFmtId="0" fontId="6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72" fontId="7" fillId="0" borderId="0" xfId="0" applyNumberFormat="1" applyFont="1"/>
    <xf numFmtId="173" fontId="7" fillId="0" borderId="0" xfId="0" applyNumberFormat="1" applyFont="1"/>
    <xf numFmtId="0" fontId="7" fillId="0" borderId="1" xfId="0" applyFont="1" applyBorder="1"/>
    <xf numFmtId="15" fontId="7" fillId="0" borderId="0" xfId="0" applyNumberFormat="1" applyFont="1"/>
    <xf numFmtId="0" fontId="6" fillId="0" borderId="1" xfId="0" applyFont="1" applyBorder="1" applyAlignment="1">
      <alignment horizontal="center"/>
    </xf>
    <xf numFmtId="15" fontId="7" fillId="3" borderId="1" xfId="0" applyNumberFormat="1" applyFont="1" applyFill="1" applyBorder="1"/>
    <xf numFmtId="4" fontId="7" fillId="2" borderId="0" xfId="0" applyNumberFormat="1" applyFont="1" applyFill="1"/>
    <xf numFmtId="0" fontId="7" fillId="0" borderId="1" xfId="0" applyFont="1" applyBorder="1" applyAlignment="1">
      <alignment horizontal="center"/>
    </xf>
    <xf numFmtId="176" fontId="7" fillId="0" borderId="0" xfId="0" applyNumberFormat="1" applyFont="1"/>
    <xf numFmtId="173" fontId="7" fillId="5" borderId="1" xfId="0" applyNumberFormat="1" applyFont="1" applyFill="1" applyBorder="1"/>
    <xf numFmtId="173" fontId="7" fillId="0" borderId="1" xfId="0" applyNumberFormat="1" applyFont="1" applyBorder="1"/>
    <xf numFmtId="0" fontId="0" fillId="6" borderId="0" xfId="0" applyFont="1" applyFill="1"/>
    <xf numFmtId="0" fontId="7" fillId="0" borderId="1" xfId="0" applyNumberFormat="1" applyFont="1" applyBorder="1"/>
    <xf numFmtId="0" fontId="7" fillId="0" borderId="0" xfId="0" applyNumberFormat="1" applyFont="1" applyFill="1"/>
    <xf numFmtId="4" fontId="7" fillId="0" borderId="0" xfId="0" applyNumberFormat="1" applyFont="1" applyFill="1"/>
    <xf numFmtId="0" fontId="6" fillId="7" borderId="1" xfId="0" applyFont="1" applyFill="1" applyBorder="1" applyAlignment="1">
      <alignment horizontal="center"/>
    </xf>
    <xf numFmtId="15" fontId="7" fillId="7" borderId="1" xfId="0" applyNumberFormat="1" applyFont="1" applyFill="1" applyBorder="1"/>
    <xf numFmtId="0" fontId="0" fillId="8" borderId="0" xfId="0" applyFont="1" applyFill="1"/>
    <xf numFmtId="0" fontId="3" fillId="6" borderId="0" xfId="0" applyFont="1" applyFill="1"/>
    <xf numFmtId="0" fontId="0" fillId="6" borderId="0" xfId="0" applyFont="1" applyFill="1" applyBorder="1"/>
    <xf numFmtId="0" fontId="5" fillId="6" borderId="0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5" fontId="0" fillId="6" borderId="0" xfId="0" applyNumberFormat="1" applyFont="1" applyFill="1" applyBorder="1"/>
    <xf numFmtId="0" fontId="3" fillId="8" borderId="0" xfId="0" applyFont="1" applyFill="1"/>
    <xf numFmtId="0" fontId="0" fillId="6" borderId="0" xfId="0" applyFill="1"/>
    <xf numFmtId="0" fontId="7" fillId="7" borderId="1" xfId="0" applyFont="1" applyFill="1" applyBorder="1" applyAlignment="1">
      <alignment horizontal="center"/>
    </xf>
    <xf numFmtId="0" fontId="0" fillId="0" borderId="0" xfId="0" applyFont="1" applyFill="1"/>
    <xf numFmtId="0" fontId="8" fillId="0" borderId="0" xfId="0" applyFont="1"/>
    <xf numFmtId="0" fontId="9" fillId="0" borderId="0" xfId="0" applyFont="1"/>
    <xf numFmtId="0" fontId="0" fillId="0" borderId="0" xfId="0"/>
    <xf numFmtId="0" fontId="0" fillId="6" borderId="0" xfId="0" applyFill="1"/>
    <xf numFmtId="0" fontId="10" fillId="0" borderId="0" xfId="2" applyFont="1" applyFill="1"/>
    <xf numFmtId="0" fontId="11" fillId="6" borderId="0" xfId="2" applyFont="1" applyFill="1"/>
    <xf numFmtId="0" fontId="11" fillId="6" borderId="0" xfId="3" applyFont="1" applyFill="1"/>
    <xf numFmtId="0" fontId="12" fillId="0" borderId="0" xfId="0" applyFont="1"/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3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center"/>
    </xf>
  </cellXfs>
  <cellStyles count="4">
    <cellStyle name="Normal" xfId="0" builtinId="0"/>
    <cellStyle name="Normal 2" xfId="1"/>
    <cellStyle name="Normal 2 2" xfId="2"/>
    <cellStyle name="Normal 2 3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523875</xdr:colOff>
      <xdr:row>3</xdr:row>
      <xdr:rowOff>66675</xdr:rowOff>
    </xdr:to>
    <xdr:pic>
      <xdr:nvPicPr>
        <xdr:cNvPr id="3080" name="Picture 1" descr="mx_logo_big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323850"/>
          <a:ext cx="5238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4</xdr:row>
      <xdr:rowOff>0</xdr:rowOff>
    </xdr:from>
    <xdr:to>
      <xdr:col>6</xdr:col>
      <xdr:colOff>561975</xdr:colOff>
      <xdr:row>41</xdr:row>
      <xdr:rowOff>9525</xdr:rowOff>
    </xdr:to>
    <xdr:pic>
      <xdr:nvPicPr>
        <xdr:cNvPr id="206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0" y="752475"/>
          <a:ext cx="3267075" cy="6000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333375</xdr:colOff>
      <xdr:row>3</xdr:row>
      <xdr:rowOff>123825</xdr:rowOff>
    </xdr:from>
    <xdr:to>
      <xdr:col>12</xdr:col>
      <xdr:colOff>504825</xdr:colOff>
      <xdr:row>40</xdr:row>
      <xdr:rowOff>152400</xdr:rowOff>
    </xdr:to>
    <xdr:pic>
      <xdr:nvPicPr>
        <xdr:cNvPr id="206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600575" y="714375"/>
          <a:ext cx="3219450" cy="6019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4" Type="http://schemas.openxmlformats.org/officeDocument/2006/relationships/oleObject" Target="../embeddings/oleObject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3:E21"/>
  <sheetViews>
    <sheetView showGridLines="0" workbookViewId="0">
      <selection activeCell="E31" sqref="E31"/>
    </sheetView>
  </sheetViews>
  <sheetFormatPr defaultRowHeight="12.75"/>
  <sheetData>
    <row r="3" spans="3:5" ht="36">
      <c r="C3" s="37" t="s">
        <v>47</v>
      </c>
    </row>
    <row r="6" spans="3:5" ht="21">
      <c r="C6" s="41" t="s">
        <v>48</v>
      </c>
      <c r="D6" s="39"/>
      <c r="E6" s="39"/>
    </row>
    <row r="7" spans="3:5" ht="15.75">
      <c r="C7" s="40" t="s">
        <v>49</v>
      </c>
      <c r="D7" s="38"/>
      <c r="E7" s="38"/>
    </row>
    <row r="8" spans="3:5" ht="15.75">
      <c r="C8" s="40" t="s">
        <v>50</v>
      </c>
      <c r="D8" s="38"/>
      <c r="E8" s="38"/>
    </row>
    <row r="10" spans="3:5" ht="21">
      <c r="C10" s="42" t="s">
        <v>51</v>
      </c>
      <c r="D10" s="39"/>
      <c r="E10" s="38"/>
    </row>
    <row r="11" spans="3:5" ht="15.75">
      <c r="C11" s="43" t="s">
        <v>52</v>
      </c>
    </row>
    <row r="12" spans="3:5" ht="15.75">
      <c r="C12" s="43" t="s">
        <v>53</v>
      </c>
    </row>
    <row r="13" spans="3:5" ht="15.75">
      <c r="C13" s="43"/>
    </row>
    <row r="14" spans="3:5" ht="15.75">
      <c r="C14" s="43" t="s">
        <v>54</v>
      </c>
    </row>
    <row r="15" spans="3:5" ht="15.75">
      <c r="C15" s="43" t="s">
        <v>55</v>
      </c>
    </row>
    <row r="16" spans="3:5" ht="15.75">
      <c r="C16" s="43" t="s">
        <v>56</v>
      </c>
    </row>
    <row r="17" spans="3:3" ht="15.75">
      <c r="C17" s="43" t="s">
        <v>57</v>
      </c>
    </row>
    <row r="18" spans="3:3" ht="15.75">
      <c r="C18" s="43"/>
    </row>
    <row r="19" spans="3:3" ht="15.75">
      <c r="C19" s="43" t="s">
        <v>58</v>
      </c>
    </row>
    <row r="20" spans="3:3" ht="15.75">
      <c r="C20" s="43" t="s">
        <v>59</v>
      </c>
    </row>
    <row r="21" spans="3:3" ht="15.75">
      <c r="C21" s="4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"/>
  <sheetViews>
    <sheetView showGridLines="0" workbookViewId="0">
      <selection activeCell="O19" sqref="O19"/>
    </sheetView>
  </sheetViews>
  <sheetFormatPr defaultRowHeight="12.75"/>
  <sheetData>
    <row r="3" spans="2:2" ht="21">
      <c r="B3" s="36" t="s">
        <v>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B1:Y810"/>
  <sheetViews>
    <sheetView showGridLines="0" tabSelected="1" topLeftCell="A16" workbookViewId="0">
      <selection activeCell="I16" sqref="I16"/>
    </sheetView>
  </sheetViews>
  <sheetFormatPr defaultRowHeight="11.25"/>
  <cols>
    <col min="1" max="1" width="2.42578125" style="2" customWidth="1"/>
    <col min="2" max="2" width="7.7109375" style="2" customWidth="1"/>
    <col min="3" max="3" width="9.140625" style="2"/>
    <col min="4" max="4" width="8.42578125" style="2" customWidth="1"/>
    <col min="5" max="5" width="7.5703125" style="2" customWidth="1"/>
    <col min="6" max="6" width="8" style="2" customWidth="1"/>
    <col min="7" max="7" width="7.7109375" style="2" customWidth="1"/>
    <col min="8" max="8" width="9.140625" style="2"/>
    <col min="9" max="9" width="9.85546875" style="2" customWidth="1"/>
    <col min="10" max="10" width="9.5703125" style="2" customWidth="1"/>
    <col min="11" max="11" width="9.42578125" style="2" customWidth="1"/>
    <col min="12" max="12" width="9.5703125" style="2" customWidth="1"/>
    <col min="13" max="13" width="9.140625" style="2"/>
    <col min="14" max="14" width="10.5703125" style="2" bestFit="1" customWidth="1"/>
    <col min="15" max="15" width="9.140625" style="2"/>
    <col min="16" max="16" width="9.28515625" style="2" bestFit="1" customWidth="1"/>
    <col min="17" max="17" width="9.140625" style="2"/>
    <col min="18" max="18" width="9.42578125" style="2" customWidth="1"/>
    <col min="19" max="19" width="9.140625" style="2"/>
    <col min="20" max="20" width="9.5703125" style="2" customWidth="1"/>
    <col min="21" max="21" width="9.140625" style="2"/>
    <col min="22" max="22" width="10.140625" style="2" bestFit="1" customWidth="1"/>
    <col min="23" max="16384" width="9.140625" style="2"/>
  </cols>
  <sheetData>
    <row r="1" spans="2:25" ht="12.75" customHeight="1">
      <c r="E1" s="4"/>
    </row>
    <row r="2" spans="2:25" ht="12.75" customHeight="1">
      <c r="B2" s="1" t="s">
        <v>0</v>
      </c>
    </row>
    <row r="3" spans="2:25" ht="12.75" customHeight="1">
      <c r="B3" s="13" t="s">
        <v>1</v>
      </c>
      <c r="C3" s="14">
        <v>39826</v>
      </c>
      <c r="I3" s="48" t="s">
        <v>39</v>
      </c>
      <c r="J3" s="48"/>
      <c r="K3" s="48"/>
      <c r="L3" s="13" t="s">
        <v>41</v>
      </c>
      <c r="M3" s="48" t="s">
        <v>42</v>
      </c>
      <c r="N3" s="48"/>
      <c r="O3" s="48"/>
      <c r="P3" s="48"/>
      <c r="Q3" s="48"/>
      <c r="R3" s="48"/>
    </row>
    <row r="4" spans="2:25" ht="12.75" customHeight="1">
      <c r="B4" s="3" t="s">
        <v>6</v>
      </c>
      <c r="C4" s="3" t="s">
        <v>7</v>
      </c>
      <c r="D4" s="3" t="s">
        <v>8</v>
      </c>
      <c r="E4" s="3" t="s">
        <v>16</v>
      </c>
      <c r="F4" s="3" t="s">
        <v>13</v>
      </c>
      <c r="G4" s="3" t="s">
        <v>26</v>
      </c>
      <c r="H4" s="3" t="s">
        <v>2</v>
      </c>
      <c r="I4" s="7" t="s">
        <v>3</v>
      </c>
      <c r="J4" s="8" t="s">
        <v>12</v>
      </c>
      <c r="K4" s="24" t="s">
        <v>4</v>
      </c>
      <c r="L4" s="34" t="s">
        <v>40</v>
      </c>
      <c r="M4" s="25">
        <f t="array" ref="M4:R4">TRANSPOSE(D5:D10)</f>
        <v>39827</v>
      </c>
      <c r="N4" s="25">
        <v>39861</v>
      </c>
      <c r="O4" s="25">
        <v>40163</v>
      </c>
      <c r="P4" s="25">
        <v>40346</v>
      </c>
      <c r="Q4" s="25">
        <v>40561</v>
      </c>
      <c r="R4" s="25">
        <v>40925</v>
      </c>
    </row>
    <row r="5" spans="2:25" ht="12.75" customHeight="1">
      <c r="B5" s="2" t="s">
        <v>9</v>
      </c>
      <c r="C5" s="12">
        <v>39826</v>
      </c>
      <c r="D5" s="12">
        <v>39827</v>
      </c>
      <c r="E5" s="10">
        <v>0.99999711806386105</v>
      </c>
      <c r="F5" s="10">
        <v>0.105190820644414</v>
      </c>
      <c r="G5" s="10">
        <v>0.10375</v>
      </c>
      <c r="H5" s="5">
        <v>-53.182590873047999</v>
      </c>
      <c r="I5" s="19">
        <f t="shared" ref="I5:I10" si="0">dotPRODUCT($H$5:$H$10,$B39:$G39)</f>
        <v>2.6869164110366057</v>
      </c>
      <c r="J5" s="19">
        <v>2.68691641103677</v>
      </c>
      <c r="K5" s="21">
        <f t="shared" ref="K5:K10" si="1">I5-J5</f>
        <v>-1.6431300764452317E-13</v>
      </c>
      <c r="L5" s="11">
        <f>1000000*(D5-C5)/360*E5/10000</f>
        <v>0.27777697723996136</v>
      </c>
      <c r="M5" s="19">
        <f>J17</f>
        <v>0.27397260273972596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</row>
    <row r="6" spans="2:25" ht="12.75" customHeight="1">
      <c r="B6" s="2" t="s">
        <v>9</v>
      </c>
      <c r="C6" s="12">
        <v>39828</v>
      </c>
      <c r="D6" s="12">
        <v>39861</v>
      </c>
      <c r="E6" s="10">
        <v>0.99968000990980599</v>
      </c>
      <c r="F6" s="10">
        <v>0.333757353573233</v>
      </c>
      <c r="G6" s="10">
        <v>0.34250000000000003</v>
      </c>
      <c r="H6" s="5">
        <v>23.8908473224405</v>
      </c>
      <c r="I6" s="19">
        <f t="shared" si="0"/>
        <v>41.923512107026426</v>
      </c>
      <c r="J6" s="19">
        <v>41.9235121070272</v>
      </c>
      <c r="K6" s="21">
        <f t="shared" si="1"/>
        <v>-7.744915819785092E-13</v>
      </c>
      <c r="L6" s="11">
        <f>1000000*(D6-C6)/360*E6/10000</f>
        <v>9.1637334241732233</v>
      </c>
      <c r="M6" s="19">
        <f>L16*(N4-K16)/(N4-M4)</f>
        <v>-0.53182590873047975</v>
      </c>
      <c r="N6" s="19">
        <f>L16*(K16-M4)/(N4-M4)+L17</f>
        <v>9.5728663571486354</v>
      </c>
      <c r="O6" s="19">
        <v>0</v>
      </c>
      <c r="P6" s="19">
        <v>0</v>
      </c>
      <c r="Q6" s="19">
        <v>0</v>
      </c>
      <c r="R6" s="19">
        <v>0</v>
      </c>
    </row>
    <row r="7" spans="2:25" ht="12.75" customHeight="1">
      <c r="B7" s="2" t="s">
        <v>10</v>
      </c>
      <c r="C7" s="12">
        <v>40072</v>
      </c>
      <c r="D7" s="12">
        <v>40163</v>
      </c>
      <c r="E7" s="10">
        <v>0.99379245096907698</v>
      </c>
      <c r="F7" s="10">
        <v>0.67442641808076398</v>
      </c>
      <c r="G7" s="10">
        <v>99.06</v>
      </c>
      <c r="H7" s="5">
        <v>107.97915362234799</v>
      </c>
      <c r="I7" s="19">
        <f t="shared" si="0"/>
        <v>42.782216592998196</v>
      </c>
      <c r="J7" s="19">
        <v>42.782216592998999</v>
      </c>
      <c r="K7" s="21">
        <f t="shared" si="1"/>
        <v>-8.0291329140891321E-13</v>
      </c>
      <c r="L7" s="11">
        <f>1000000*(D7-C7)/360*E7/10000</f>
        <v>25.120864732829446</v>
      </c>
      <c r="M7" s="19">
        <v>0</v>
      </c>
      <c r="N7" s="19">
        <f>N16*(O4-M16)/(O4-N4)</f>
        <v>-20.230335880386491</v>
      </c>
      <c r="O7" s="19">
        <f>N16*(M16-N4)/(O4-N4)+N17</f>
        <v>45.065951474070829</v>
      </c>
      <c r="P7" s="19">
        <v>0</v>
      </c>
      <c r="Q7" s="19">
        <v>0</v>
      </c>
      <c r="R7" s="19">
        <v>0</v>
      </c>
    </row>
    <row r="8" spans="2:25" ht="12.75" customHeight="1">
      <c r="B8" s="2" t="s">
        <v>10</v>
      </c>
      <c r="C8" s="12">
        <v>40254</v>
      </c>
      <c r="D8" s="12">
        <v>40346</v>
      </c>
      <c r="E8" s="10">
        <v>0.98775189005294595</v>
      </c>
      <c r="F8" s="10">
        <v>0.86503148321517498</v>
      </c>
      <c r="G8" s="10">
        <v>98.704999999999998</v>
      </c>
      <c r="H8" s="5">
        <v>145.166444878128</v>
      </c>
      <c r="I8" s="19">
        <f t="shared" si="0"/>
        <v>16.083437126203755</v>
      </c>
      <c r="J8" s="19">
        <v>16.083437126204199</v>
      </c>
      <c r="K8" s="21">
        <f t="shared" si="1"/>
        <v>-4.4408920985006262E-13</v>
      </c>
      <c r="L8" s="11">
        <f>1000000*(D8-C8)/360*E8/10000</f>
        <v>25.242548301353064</v>
      </c>
      <c r="M8" s="19">
        <v>0</v>
      </c>
      <c r="N8" s="19">
        <v>0</v>
      </c>
      <c r="O8" s="19">
        <f>P16*(P4-O16)/(P4-O4)</f>
        <v>-58.421191729850506</v>
      </c>
      <c r="P8" s="19">
        <f>P16*(O16-O4)/(P4-O4)+P17</f>
        <v>83.400346163500572</v>
      </c>
      <c r="Q8" s="19">
        <v>0</v>
      </c>
      <c r="R8" s="19">
        <v>0</v>
      </c>
    </row>
    <row r="9" spans="2:25" ht="12.75" customHeight="1">
      <c r="B9" s="2" t="s">
        <v>11</v>
      </c>
      <c r="C9" s="12">
        <v>39828</v>
      </c>
      <c r="D9" s="12">
        <v>40561</v>
      </c>
      <c r="E9" s="10">
        <v>0.97494153891863</v>
      </c>
      <c r="F9" s="10">
        <v>1.2602565987591501</v>
      </c>
      <c r="G9" s="10">
        <v>1.2627349999999999</v>
      </c>
      <c r="H9" s="5">
        <v>19851.265841110901</v>
      </c>
      <c r="I9" s="19">
        <f t="shared" si="0"/>
        <v>19920.704907325351</v>
      </c>
      <c r="J9" s="19">
        <v>19920.7049085092</v>
      </c>
      <c r="K9" s="21">
        <f t="shared" si="1"/>
        <v>-1.1838492355309427E-6</v>
      </c>
      <c r="L9" s="11">
        <f>1000000*(linearInterp($C$3,$D$5:$D$10,$F$5:$F$10,$C$3,C9,1)-E9)/(G9/100)/10000</f>
        <v>198.39735859823313</v>
      </c>
      <c r="M9" s="19">
        <f>R16*(N4-Q16)/(N4-M4)</f>
        <v>-0.53182590873047975</v>
      </c>
      <c r="N9" s="19">
        <f>R16*(Q16-M4)/(N4-M4)+R17*(O4-Q17)/(O4-N4)</f>
        <v>0.14489818745941307</v>
      </c>
      <c r="O9" s="19">
        <f>R17*(Q17-N4)/(O4-N4)+R18*(P4-Q18)/(P4-O4)</f>
        <v>0.68174528274657931</v>
      </c>
      <c r="P9" s="19">
        <f>R18*(Q18-O4)/(P4-O4)+R19*(Q4-Q19)/(Q4-P4)</f>
        <v>0.91653375386594083</v>
      </c>
      <c r="Q9" s="19">
        <f>R19*(Q19-P4)/(Q4-P4)+R20</f>
        <v>197.70579033372815</v>
      </c>
      <c r="R9" s="19">
        <v>0</v>
      </c>
    </row>
    <row r="10" spans="2:25" ht="12.75" customHeight="1">
      <c r="B10" s="2" t="s">
        <v>11</v>
      </c>
      <c r="C10" s="12">
        <v>39828</v>
      </c>
      <c r="D10" s="12">
        <v>40925</v>
      </c>
      <c r="E10" s="10">
        <v>0.95303141741209496</v>
      </c>
      <c r="F10" s="10">
        <v>1.5977437935610499</v>
      </c>
      <c r="G10" s="10">
        <v>1.597237</v>
      </c>
      <c r="H10" s="5">
        <v>0</v>
      </c>
      <c r="I10" s="19">
        <f t="shared" si="0"/>
        <v>0</v>
      </c>
      <c r="J10" s="19">
        <v>0</v>
      </c>
      <c r="K10" s="21">
        <f t="shared" si="1"/>
        <v>0</v>
      </c>
      <c r="L10" s="11">
        <f>1000000*(linearInterp($C$3,$D$5:$D$10,$F$5:$F$10,$C$3,C10,1)-E10)/(G10/100)/10000</f>
        <v>294.0230558613971</v>
      </c>
      <c r="M10" s="19">
        <f>T16*(N4-S16)/(N4-M4)</f>
        <v>-0.53182590873047975</v>
      </c>
      <c r="N10" s="19">
        <f>T16*(S16-M4)/(N4-M4)+T17*(O4-S17)/(O4-N4)</f>
        <v>0.18755127503166977</v>
      </c>
      <c r="O10" s="19">
        <f>T17*(S17-N4)/(O4-N4)+T18*(P4-S18)/(P4-O4)</f>
        <v>0.86234149697149309</v>
      </c>
      <c r="P10" s="19">
        <f>T18*(S18-O4)/(P4-O4)+T19*(Q4-S19)/(Q4-P4)</f>
        <v>1.1593260845890658</v>
      </c>
      <c r="Q10" s="19">
        <f>T19*(S19-P4)/(Q4-P4)+T20+T21*(R4-S21)/(R4-Q4)</f>
        <v>2.7166314761811483</v>
      </c>
      <c r="R10" s="19">
        <f>T21*(S21-Q4)/(R4-Q4)+T22</f>
        <v>290.19791617649292</v>
      </c>
    </row>
    <row r="11" spans="2:25" ht="12.75" customHeight="1">
      <c r="C11" s="4"/>
      <c r="D11" s="4"/>
      <c r="E11" s="4"/>
      <c r="H11" s="5"/>
      <c r="J11" s="5"/>
    </row>
    <row r="12" spans="2:25" ht="12.75" customHeight="1">
      <c r="C12" s="4"/>
      <c r="D12" s="4"/>
      <c r="E12" s="4"/>
      <c r="H12" s="5"/>
      <c r="J12" s="5"/>
    </row>
    <row r="13" spans="2:25" ht="12.75" customHeight="1">
      <c r="B13" s="1" t="s">
        <v>29</v>
      </c>
      <c r="C13" s="1"/>
      <c r="I13" s="1" t="s">
        <v>18</v>
      </c>
      <c r="J13" s="15"/>
      <c r="L13" s="5"/>
    </row>
    <row r="14" spans="2:25" ht="12.75" customHeight="1">
      <c r="B14" s="46" t="s">
        <v>30</v>
      </c>
      <c r="C14" s="46"/>
      <c r="D14" s="47" t="s">
        <v>31</v>
      </c>
      <c r="E14" s="47"/>
      <c r="I14" s="44" t="s">
        <v>19</v>
      </c>
      <c r="J14" s="45"/>
      <c r="K14" s="44" t="s">
        <v>21</v>
      </c>
      <c r="L14" s="45"/>
      <c r="M14" s="44" t="s">
        <v>22</v>
      </c>
      <c r="N14" s="45"/>
      <c r="O14" s="44" t="s">
        <v>23</v>
      </c>
      <c r="P14" s="45"/>
      <c r="Q14" s="44" t="s">
        <v>24</v>
      </c>
      <c r="R14" s="45"/>
      <c r="S14" s="44" t="s">
        <v>25</v>
      </c>
      <c r="T14" s="45"/>
    </row>
    <row r="15" spans="2:25" ht="12.75" customHeight="1">
      <c r="B15" s="46" t="s">
        <v>32</v>
      </c>
      <c r="C15" s="46"/>
      <c r="D15" s="47" t="s">
        <v>33</v>
      </c>
      <c r="E15" s="47"/>
      <c r="I15" s="16" t="s">
        <v>20</v>
      </c>
      <c r="J15" s="16" t="s">
        <v>17</v>
      </c>
      <c r="K15" s="16" t="s">
        <v>20</v>
      </c>
      <c r="L15" s="16" t="s">
        <v>17</v>
      </c>
      <c r="M15" s="16" t="s">
        <v>20</v>
      </c>
      <c r="N15" s="16" t="s">
        <v>17</v>
      </c>
      <c r="O15" s="16" t="s">
        <v>20</v>
      </c>
      <c r="P15" s="16" t="s">
        <v>17</v>
      </c>
      <c r="Q15" s="16" t="s">
        <v>20</v>
      </c>
      <c r="R15" s="16" t="s">
        <v>17</v>
      </c>
      <c r="S15" s="16" t="s">
        <v>20</v>
      </c>
      <c r="T15" s="16" t="s">
        <v>17</v>
      </c>
    </row>
    <row r="16" spans="2:25" ht="12.75" customHeight="1">
      <c r="B16" s="46" t="s">
        <v>34</v>
      </c>
      <c r="C16" s="46"/>
      <c r="D16" s="47" t="s">
        <v>35</v>
      </c>
      <c r="E16" s="47"/>
      <c r="H16" s="6"/>
      <c r="I16" s="12">
        <v>39826</v>
      </c>
      <c r="J16" s="2">
        <v>0</v>
      </c>
      <c r="K16" s="12">
        <v>39828</v>
      </c>
      <c r="L16" s="2">
        <f>-1000000*(C6-$C$3)/365*linearInterp(C3,D5:D10,F5:F10,C3,C6,1)/10000</f>
        <v>-0.54794184535867618</v>
      </c>
      <c r="M16" s="12">
        <v>40072</v>
      </c>
      <c r="N16" s="2">
        <f>-1000000*(C7-C3)/365*linearInterp(C3,D5:D10,F5:F10,C3,C7,1)/10000</f>
        <v>-67.138037756887044</v>
      </c>
      <c r="O16" s="12">
        <v>40254</v>
      </c>
      <c r="P16" s="2">
        <f>-1000000*(C8-C3)/365*linearInterp(C3,D5:D10,F5:F10,C3,C8,1)/10000</f>
        <v>-116.20737050611568</v>
      </c>
      <c r="Q16" s="12">
        <v>39828</v>
      </c>
      <c r="R16" s="5">
        <f>-1000000*(Q16-C3)/365*linearInterp(C3,D5:D10,F5:F10,C3,Q16,1)/10000</f>
        <v>-0.54794184535867618</v>
      </c>
      <c r="S16" s="12">
        <v>39828</v>
      </c>
      <c r="T16" s="2">
        <f>-(S16-C3)/365*1000000*linearInterp(C3,D5:D10,F5:F10,C3,S16,1)/10000</f>
        <v>-0.54794184535867618</v>
      </c>
      <c r="U16" s="6"/>
      <c r="V16" s="22"/>
      <c r="W16" s="6"/>
      <c r="X16" s="6"/>
      <c r="Y16" s="4"/>
    </row>
    <row r="17" spans="2:25" ht="12.75" customHeight="1">
      <c r="B17" s="46" t="s">
        <v>36</v>
      </c>
      <c r="C17" s="46"/>
      <c r="D17" s="47" t="s">
        <v>35</v>
      </c>
      <c r="E17" s="47"/>
      <c r="H17" s="6"/>
      <c r="I17" s="12">
        <v>39827</v>
      </c>
      <c r="J17" s="2">
        <f>1000000*(D5-$C$3)/365*(1+G5/100*(D5-C5)/360)*E5/10000</f>
        <v>0.27397260273972596</v>
      </c>
      <c r="K17" s="12">
        <v>39861</v>
      </c>
      <c r="L17" s="2">
        <f>1000000*(D6-C3)/365*(1+G6/100*(D6-C6)/360)*E6/10000</f>
        <v>9.5889822937768319</v>
      </c>
      <c r="M17" s="12">
        <v>40163</v>
      </c>
      <c r="N17" s="2">
        <f>1000000*(D7-C3)/365*(1+(1-G7/100)*(D7-C7)/360)*E7/10000</f>
        <v>91.973653350571382</v>
      </c>
      <c r="O17" s="12">
        <v>40346</v>
      </c>
      <c r="P17" s="2">
        <f>1000000*(D8-C3)/365*(1+(1-G8/100)*(D8-C8)/360)*E8/10000</f>
        <v>141.18652493976575</v>
      </c>
      <c r="Q17" s="12">
        <v>40009</v>
      </c>
      <c r="R17" s="5">
        <f>1000000*(Q17-$C$3)/365*$G$9/100*DAYS360(Q16,Q17)/360*linearInterp($C$3,$D$5:$D$10,$F$5:$F$10,$C$3,Q17,1)/10000</f>
        <v>0.31575497061336394</v>
      </c>
      <c r="S17" s="12">
        <v>40009</v>
      </c>
      <c r="T17" s="9">
        <f>1000000*(S17-$C$3)/365*$G$10/100*DAYS360(S16,S17)/360*linearInterp($C$3,$D$5:$D$10,$F$5:$F$10,$C$3,S17,1)/10000</f>
        <v>0.39939933715116599</v>
      </c>
      <c r="U17" s="6"/>
      <c r="V17" s="22"/>
      <c r="W17" s="6"/>
      <c r="X17" s="6"/>
      <c r="Y17" s="4"/>
    </row>
    <row r="18" spans="2:25" ht="12.75" customHeight="1">
      <c r="H18" s="6"/>
      <c r="Q18" s="12">
        <v>40193</v>
      </c>
      <c r="R18" s="5">
        <f>1000000*(Q18-$C$3)/365*$G$9/100*DAYS360(Q17,Q18)/360*linearInterp($C$3,$D$5:$D$10,$F$5:$F$10,$C$3,Q18,1)/10000</f>
        <v>0.63033863940137869</v>
      </c>
      <c r="S18" s="12">
        <v>40193</v>
      </c>
      <c r="T18" s="9">
        <f>1000000*(S18-$C$3)/365*$G$10/100*DAYS360(S17,S18)/360*linearInterp($C$3,$D$5:$D$10,$F$5:$F$10,$C$3,S18,1)/10000</f>
        <v>0.79731709137827023</v>
      </c>
      <c r="U18" s="6"/>
      <c r="V18" s="22"/>
      <c r="W18" s="6"/>
      <c r="X18" s="6"/>
      <c r="Y18" s="4"/>
    </row>
    <row r="19" spans="2:25" ht="12.75" customHeight="1">
      <c r="H19" s="6"/>
      <c r="J19" s="6"/>
      <c r="K19" s="6"/>
      <c r="L19" s="6"/>
      <c r="M19" s="6"/>
      <c r="N19" s="6"/>
      <c r="O19" s="6"/>
      <c r="P19" s="6"/>
      <c r="Q19" s="12">
        <v>40374</v>
      </c>
      <c r="R19" s="5">
        <f>1000000*(Q19-$C$3)/365*$G$9/100*DAYS360(Q18,Q19)/360*linearInterp($C$3,$D$5:$D$10,$F$5:$F$10,$C$3,Q19,1)/10000</f>
        <v>0.9349620502532523</v>
      </c>
      <c r="S19" s="12">
        <v>40374</v>
      </c>
      <c r="T19" s="9">
        <f>1000000*(S19-$C$3)/365*$G$10/100*DAYS360(S18,S19)/360*linearInterp($C$3,$D$5:$D$10,$F$5:$F$10,$C$3,S19,1)/10000</f>
        <v>1.182636087746324</v>
      </c>
      <c r="U19" s="6"/>
      <c r="V19" s="22"/>
      <c r="W19" s="6"/>
      <c r="X19" s="6"/>
      <c r="Y19" s="4"/>
    </row>
    <row r="20" spans="2:25" ht="12.75" customHeight="1">
      <c r="B20" s="1" t="s">
        <v>5</v>
      </c>
      <c r="C20" s="1"/>
      <c r="H20" s="6"/>
      <c r="J20" s="6"/>
      <c r="K20" s="6"/>
      <c r="L20" s="6"/>
      <c r="M20" s="6"/>
      <c r="N20" s="6"/>
      <c r="O20" s="6"/>
      <c r="P20" s="6"/>
      <c r="Q20" s="12">
        <v>40561</v>
      </c>
      <c r="R20" s="17">
        <f>1000000*(Q20-$C$3)/365*($G$9/100*DAYS360(Q19,Q20)/360+1)*linearInterp($C$3,$D$5:$D$10,$F$5:$F$10,$C$3,Q20,1)/10000</f>
        <v>197.58402783416028</v>
      </c>
      <c r="S20" s="12">
        <v>40561</v>
      </c>
      <c r="T20" s="9">
        <f>1000000*(S20-$C$3)/365*$G$10/100*DAYS360(S19,S20)/360*linearInterp($C$3,$D$5:$D$10,$F$5:$F$10,$C$3,S20,1)/10000</f>
        <v>1.5940098481871754</v>
      </c>
      <c r="U20" s="23"/>
      <c r="V20" s="22"/>
      <c r="W20" s="6"/>
      <c r="X20" s="6"/>
      <c r="Y20" s="4"/>
    </row>
    <row r="21" spans="2:25" ht="12.75" customHeight="1">
      <c r="H21" s="6"/>
      <c r="J21" s="6"/>
      <c r="K21" s="6"/>
      <c r="L21" s="6"/>
      <c r="M21" s="6"/>
      <c r="N21" s="6"/>
      <c r="O21" s="6"/>
      <c r="P21" s="6"/>
      <c r="S21" s="12">
        <v>40739</v>
      </c>
      <c r="T21" s="9">
        <f>1000000*(S21-$C$3)/365*$G$10/100*DAYS360(S20,S21)/360*linearInterp($C$3,$D$5:$D$10,$F$5:$F$10,$C$3,S21,1)/10000</f>
        <v>1.8955474268691621</v>
      </c>
      <c r="U21" s="6"/>
      <c r="V21" s="6"/>
      <c r="W21" s="6"/>
      <c r="X21" s="6"/>
      <c r="Y21" s="4"/>
    </row>
    <row r="22" spans="2:25" ht="12.75" customHeight="1">
      <c r="B22" s="2" t="s">
        <v>14</v>
      </c>
      <c r="H22" s="6"/>
      <c r="J22" s="6"/>
      <c r="K22" s="6"/>
      <c r="L22" s="6"/>
      <c r="M22" s="6"/>
      <c r="N22" s="6"/>
      <c r="O22" s="6"/>
      <c r="P22" s="6"/>
      <c r="S22" s="12">
        <v>40925</v>
      </c>
      <c r="T22" s="17">
        <f>1000000*(S22-$C$3)/365*($G$10/100*DAYS360(S21,S22)/360+1)*linearInterp($C$3,$D$5:$D$10,$F$5:$F$10,$C$3,S22,1)/10000</f>
        <v>289.2709726545624</v>
      </c>
      <c r="U22" s="6"/>
      <c r="V22" s="6"/>
      <c r="W22" s="23"/>
      <c r="X22" s="6"/>
      <c r="Y22" s="4"/>
    </row>
    <row r="23" spans="2:25" ht="12.75" customHeight="1">
      <c r="B23" s="18">
        <f t="shared" ref="B23:G28" si="2">M5/$L5</f>
        <v>0.98630421232876708</v>
      </c>
      <c r="C23" s="18">
        <f t="shared" si="2"/>
        <v>0</v>
      </c>
      <c r="D23" s="18">
        <f t="shared" si="2"/>
        <v>0</v>
      </c>
      <c r="E23" s="18">
        <f t="shared" si="2"/>
        <v>0</v>
      </c>
      <c r="F23" s="18">
        <f t="shared" si="2"/>
        <v>0</v>
      </c>
      <c r="G23" s="18">
        <f t="shared" si="2"/>
        <v>0</v>
      </c>
      <c r="H23" s="6"/>
      <c r="J23" s="6"/>
      <c r="K23" s="6"/>
      <c r="L23" s="6"/>
      <c r="M23" s="6"/>
      <c r="N23" s="6"/>
      <c r="O23" s="6"/>
      <c r="P23" s="6"/>
      <c r="Y23" s="4"/>
    </row>
    <row r="24" spans="2:25" ht="12.75" customHeight="1">
      <c r="B24" s="18">
        <f t="shared" si="2"/>
        <v>-5.803594278807412E-2</v>
      </c>
      <c r="C24" s="18">
        <f t="shared" si="2"/>
        <v>1.0446469701853343</v>
      </c>
      <c r="D24" s="18">
        <f t="shared" si="2"/>
        <v>0</v>
      </c>
      <c r="E24" s="18">
        <f t="shared" si="2"/>
        <v>0</v>
      </c>
      <c r="F24" s="18">
        <f t="shared" si="2"/>
        <v>0</v>
      </c>
      <c r="G24" s="18">
        <f t="shared" si="2"/>
        <v>0</v>
      </c>
      <c r="H24" s="6"/>
      <c r="I24" s="32" t="s">
        <v>28</v>
      </c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</row>
    <row r="25" spans="2:25" ht="12.75" customHeight="1">
      <c r="B25" s="18">
        <f t="shared" si="2"/>
        <v>0</v>
      </c>
      <c r="C25" s="18">
        <f t="shared" si="2"/>
        <v>-0.80532004353927678</v>
      </c>
      <c r="D25" s="18">
        <f t="shared" si="2"/>
        <v>1.793964975066163</v>
      </c>
      <c r="E25" s="18">
        <f t="shared" si="2"/>
        <v>0</v>
      </c>
      <c r="F25" s="18">
        <f t="shared" si="2"/>
        <v>0</v>
      </c>
      <c r="G25" s="18">
        <f t="shared" si="2"/>
        <v>0</v>
      </c>
      <c r="H25" s="6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</row>
    <row r="26" spans="2:25" ht="12.75" customHeight="1">
      <c r="B26" s="18">
        <f t="shared" si="2"/>
        <v>0</v>
      </c>
      <c r="C26" s="18">
        <f t="shared" si="2"/>
        <v>0</v>
      </c>
      <c r="D26" s="18">
        <f t="shared" si="2"/>
        <v>-2.3143935799349933</v>
      </c>
      <c r="E26" s="18">
        <f t="shared" si="2"/>
        <v>3.3039590602280873</v>
      </c>
      <c r="F26" s="18">
        <f t="shared" si="2"/>
        <v>0</v>
      </c>
      <c r="G26" s="18">
        <f t="shared" si="2"/>
        <v>0</v>
      </c>
      <c r="H26" s="6"/>
      <c r="I26" s="33" t="s">
        <v>37</v>
      </c>
      <c r="J26" s="20"/>
      <c r="K26" s="20"/>
      <c r="L26" s="28"/>
      <c r="M26" s="29"/>
      <c r="N26" s="29"/>
      <c r="O26" s="29"/>
      <c r="P26" s="29"/>
      <c r="Q26" s="29"/>
      <c r="R26" s="29"/>
      <c r="S26" s="20"/>
      <c r="T26" s="20"/>
    </row>
    <row r="27" spans="2:25" ht="12.75" customHeight="1">
      <c r="B27" s="18">
        <f t="shared" si="2"/>
        <v>-2.6806098250907661E-3</v>
      </c>
      <c r="C27" s="18">
        <f t="shared" si="2"/>
        <v>7.3034332958454775E-4</v>
      </c>
      <c r="D27" s="18">
        <f t="shared" si="2"/>
        <v>3.4362618916069115E-3</v>
      </c>
      <c r="E27" s="18">
        <f t="shared" si="2"/>
        <v>4.6196872798189726E-3</v>
      </c>
      <c r="F27" s="18">
        <f t="shared" si="2"/>
        <v>0.99651422645245269</v>
      </c>
      <c r="G27" s="18">
        <f t="shared" si="2"/>
        <v>0</v>
      </c>
      <c r="H27" s="6"/>
      <c r="I27" s="20"/>
      <c r="J27" s="20"/>
      <c r="K27" s="20"/>
      <c r="L27" s="30"/>
      <c r="M27" s="31"/>
      <c r="N27" s="31"/>
      <c r="O27" s="31"/>
      <c r="P27" s="31"/>
      <c r="Q27" s="31"/>
      <c r="R27" s="31"/>
      <c r="S27" s="20"/>
      <c r="T27" s="20"/>
    </row>
    <row r="28" spans="2:25" ht="12.75" customHeight="1">
      <c r="B28" s="18">
        <f t="shared" si="2"/>
        <v>-1.8087898147048143E-3</v>
      </c>
      <c r="C28" s="18">
        <f t="shared" si="2"/>
        <v>6.3787948357383825E-4</v>
      </c>
      <c r="D28" s="18">
        <f t="shared" si="2"/>
        <v>2.9329043412772439E-3</v>
      </c>
      <c r="E28" s="18">
        <f t="shared" si="2"/>
        <v>3.9429767886487574E-3</v>
      </c>
      <c r="F28" s="18">
        <f t="shared" si="2"/>
        <v>9.2395185412322643E-3</v>
      </c>
      <c r="G28" s="18">
        <f t="shared" si="2"/>
        <v>0.98699034103397887</v>
      </c>
      <c r="H28" s="6"/>
      <c r="I28" s="20"/>
      <c r="J28" s="20"/>
      <c r="K28" s="20"/>
      <c r="L28" s="28"/>
      <c r="M28" s="28"/>
      <c r="N28" s="28"/>
      <c r="O28" s="28"/>
      <c r="P28" s="28"/>
      <c r="Q28" s="28"/>
      <c r="R28" s="28"/>
      <c r="S28" s="20"/>
      <c r="T28" s="20"/>
    </row>
    <row r="29" spans="2:25" ht="12.75" customHeight="1">
      <c r="B29" s="5"/>
      <c r="H29" s="6"/>
      <c r="I29" s="20"/>
      <c r="J29" s="20"/>
      <c r="K29" s="20"/>
      <c r="L29" s="28"/>
      <c r="M29" s="28"/>
      <c r="N29" s="28"/>
      <c r="O29" s="28"/>
      <c r="P29" s="28"/>
      <c r="Q29" s="28"/>
      <c r="R29" s="28"/>
      <c r="S29" s="20"/>
      <c r="T29" s="20"/>
    </row>
    <row r="30" spans="2:25" ht="12.75" customHeight="1">
      <c r="B30" s="5" t="s">
        <v>15</v>
      </c>
      <c r="I30" s="20"/>
      <c r="J30" s="20"/>
      <c r="K30" s="20"/>
      <c r="L30" s="28"/>
      <c r="M30" s="28"/>
      <c r="N30" s="28"/>
      <c r="O30" s="28"/>
      <c r="P30" s="28"/>
      <c r="Q30" s="28"/>
      <c r="R30" s="28"/>
      <c r="S30" s="20"/>
      <c r="T30" s="20"/>
    </row>
    <row r="31" spans="2:25" ht="12.75" customHeight="1">
      <c r="B31" s="18">
        <f t="array" ref="B31:G36">MINVERSE(B23:G28)</f>
        <v>1.0138859669258593</v>
      </c>
      <c r="C31" s="18">
        <v>0</v>
      </c>
      <c r="D31" s="18">
        <v>0</v>
      </c>
      <c r="E31" s="18">
        <v>0</v>
      </c>
      <c r="F31" s="18">
        <v>0</v>
      </c>
      <c r="G31" s="18">
        <v>0</v>
      </c>
      <c r="I31" s="20"/>
      <c r="J31" s="20"/>
      <c r="K31" s="20"/>
      <c r="L31" s="28"/>
      <c r="M31" s="28"/>
      <c r="N31" s="28"/>
      <c r="O31" s="28"/>
      <c r="P31" s="28"/>
      <c r="Q31" s="28"/>
      <c r="R31" s="28"/>
      <c r="S31" s="20"/>
      <c r="T31" s="20"/>
    </row>
    <row r="32" spans="2:25" ht="12.75" customHeight="1">
      <c r="B32" s="18">
        <v>5.6326998162547728E-2</v>
      </c>
      <c r="C32" s="18">
        <v>0.95726118826782858</v>
      </c>
      <c r="D32" s="18">
        <v>0</v>
      </c>
      <c r="E32" s="18">
        <v>0</v>
      </c>
      <c r="F32" s="18">
        <v>0</v>
      </c>
      <c r="G32" s="18">
        <v>0</v>
      </c>
      <c r="I32" s="20"/>
      <c r="J32" s="20"/>
      <c r="K32" s="20"/>
      <c r="L32" s="28"/>
      <c r="M32" s="28"/>
      <c r="N32" s="28"/>
      <c r="O32" s="28"/>
      <c r="P32" s="28"/>
      <c r="Q32" s="28"/>
      <c r="R32" s="28"/>
      <c r="S32" s="20"/>
      <c r="T32" s="20"/>
    </row>
    <row r="33" spans="2:20" ht="12.75" customHeight="1">
      <c r="B33" s="18">
        <v>2.5285477276961184E-2</v>
      </c>
      <c r="C33" s="18">
        <v>0.42971943852241368</v>
      </c>
      <c r="D33" s="18">
        <v>0.55742448369880748</v>
      </c>
      <c r="E33" s="18">
        <v>0</v>
      </c>
      <c r="F33" s="18">
        <v>0</v>
      </c>
      <c r="G33" s="18">
        <v>0</v>
      </c>
      <c r="I33" s="20"/>
      <c r="J33" s="20"/>
      <c r="K33" s="20"/>
      <c r="L33" s="28"/>
      <c r="M33" s="28"/>
      <c r="N33" s="28"/>
      <c r="O33" s="28"/>
      <c r="P33" s="28"/>
      <c r="Q33" s="28"/>
      <c r="R33" s="28"/>
      <c r="S33" s="20"/>
      <c r="T33" s="20"/>
    </row>
    <row r="34" spans="2:20" ht="12.75" customHeight="1">
      <c r="B34" s="18">
        <v>1.7712249216354146E-2</v>
      </c>
      <c r="C34" s="18">
        <v>0.30101459841360345</v>
      </c>
      <c r="D34" s="18">
        <v>0.39047083297758445</v>
      </c>
      <c r="E34" s="18">
        <v>0.30266718859735675</v>
      </c>
      <c r="F34" s="18">
        <v>0</v>
      </c>
      <c r="G34" s="18">
        <v>0</v>
      </c>
      <c r="I34" s="20"/>
      <c r="J34" s="20"/>
      <c r="K34" s="20"/>
      <c r="L34" s="28"/>
      <c r="M34" s="28"/>
      <c r="N34" s="28"/>
      <c r="O34" s="28"/>
      <c r="P34" s="28"/>
      <c r="Q34" s="28"/>
      <c r="R34" s="28"/>
      <c r="S34" s="20"/>
      <c r="T34" s="20"/>
    </row>
    <row r="35" spans="2:20" ht="12.75" customHeight="1">
      <c r="B35" s="18">
        <v>2.5167549003572084E-3</v>
      </c>
      <c r="C35" s="18">
        <v>-3.5788261430306631E-3</v>
      </c>
      <c r="D35" s="18">
        <v>-3.7323196722141303E-3</v>
      </c>
      <c r="E35" s="18">
        <v>-1.4031187152835831E-3</v>
      </c>
      <c r="F35" s="18">
        <v>1.0034979666672261</v>
      </c>
      <c r="G35" s="18">
        <v>0</v>
      </c>
      <c r="I35" s="20"/>
      <c r="J35" s="20"/>
      <c r="K35" s="20"/>
      <c r="L35" s="30"/>
      <c r="M35" s="31"/>
      <c r="N35" s="31"/>
      <c r="O35" s="31"/>
      <c r="P35" s="31"/>
      <c r="Q35" s="31"/>
      <c r="R35" s="31"/>
      <c r="S35" s="20"/>
      <c r="T35" s="20"/>
    </row>
    <row r="36" spans="2:20" ht="12.75" customHeight="1">
      <c r="B36" s="18">
        <v>1.6522191036467341E-3</v>
      </c>
      <c r="C36" s="18">
        <v>-3.0646401464347484E-3</v>
      </c>
      <c r="D36" s="18">
        <v>-3.1813941351712693E-3</v>
      </c>
      <c r="E36" s="18">
        <v>-1.196005177419362E-3</v>
      </c>
      <c r="F36" s="18">
        <v>-9.3940514751111575E-3</v>
      </c>
      <c r="G36" s="18">
        <v>1.0131811411167329</v>
      </c>
      <c r="I36" s="20"/>
      <c r="J36" s="20"/>
      <c r="K36" s="20"/>
      <c r="L36" s="28"/>
      <c r="M36" s="28"/>
      <c r="N36" s="28"/>
      <c r="O36" s="28"/>
      <c r="P36" s="28"/>
      <c r="Q36" s="28"/>
      <c r="R36" s="28"/>
      <c r="S36" s="20"/>
      <c r="T36" s="20"/>
    </row>
    <row r="37" spans="2:20" ht="12.75" customHeight="1">
      <c r="I37" s="20"/>
      <c r="J37" s="20"/>
      <c r="K37" s="20"/>
      <c r="L37" s="28"/>
      <c r="M37" s="28"/>
      <c r="N37" s="28"/>
      <c r="O37" s="28"/>
      <c r="P37" s="28"/>
      <c r="Q37" s="28"/>
      <c r="R37" s="28"/>
      <c r="S37" s="20"/>
      <c r="T37" s="20"/>
    </row>
    <row r="38" spans="2:20" ht="12.75" customHeight="1">
      <c r="B38" s="2" t="s">
        <v>27</v>
      </c>
      <c r="I38" s="20"/>
      <c r="J38" s="20"/>
      <c r="K38" s="20"/>
      <c r="L38" s="28"/>
      <c r="M38" s="28"/>
      <c r="N38" s="28"/>
      <c r="O38" s="28"/>
      <c r="P38" s="28"/>
      <c r="Q38" s="28"/>
      <c r="R38" s="28"/>
      <c r="S38" s="20"/>
      <c r="T38" s="20"/>
    </row>
    <row r="39" spans="2:20" ht="12.75" customHeight="1">
      <c r="B39" s="18">
        <f t="array" ref="B39:G44">TRANSPOSE(B31:G36)</f>
        <v>1.0138859669258593</v>
      </c>
      <c r="C39" s="18">
        <v>5.6326998162547728E-2</v>
      </c>
      <c r="D39" s="18">
        <v>2.5285477276961184E-2</v>
      </c>
      <c r="E39" s="18">
        <v>1.7712249216354146E-2</v>
      </c>
      <c r="F39" s="18">
        <v>2.5167549003572084E-3</v>
      </c>
      <c r="G39" s="18">
        <v>1.6522191036467341E-3</v>
      </c>
      <c r="I39" s="20"/>
      <c r="J39" s="20"/>
      <c r="K39" s="20"/>
      <c r="L39" s="28"/>
      <c r="M39" s="28"/>
      <c r="N39" s="28"/>
      <c r="O39" s="28"/>
      <c r="P39" s="28"/>
      <c r="Q39" s="28"/>
      <c r="R39" s="28"/>
      <c r="S39" s="20"/>
      <c r="T39" s="20"/>
    </row>
    <row r="40" spans="2:20" ht="12.75" customHeight="1">
      <c r="B40" s="18">
        <v>0</v>
      </c>
      <c r="C40" s="18">
        <v>0.95726118826782858</v>
      </c>
      <c r="D40" s="18">
        <v>0.42971943852241368</v>
      </c>
      <c r="E40" s="18">
        <v>0.30101459841360345</v>
      </c>
      <c r="F40" s="18">
        <v>-3.5788261430306631E-3</v>
      </c>
      <c r="G40" s="18">
        <v>-3.0646401464347484E-3</v>
      </c>
      <c r="I40" s="20"/>
      <c r="J40" s="20"/>
      <c r="K40" s="20"/>
      <c r="L40" s="28"/>
      <c r="M40" s="28"/>
      <c r="N40" s="28"/>
      <c r="O40" s="28"/>
      <c r="P40" s="28"/>
      <c r="Q40" s="28"/>
      <c r="R40" s="28"/>
      <c r="S40" s="20"/>
      <c r="T40" s="20"/>
    </row>
    <row r="41" spans="2:20" ht="12.75" customHeight="1">
      <c r="B41" s="18">
        <v>0</v>
      </c>
      <c r="C41" s="18">
        <v>0</v>
      </c>
      <c r="D41" s="18">
        <v>0.55742448369880748</v>
      </c>
      <c r="E41" s="18">
        <v>0.39047083297758445</v>
      </c>
      <c r="F41" s="18">
        <v>-3.7323196722141303E-3</v>
      </c>
      <c r="G41" s="18">
        <v>-3.1813941351712693E-3</v>
      </c>
      <c r="I41" s="20"/>
      <c r="J41" s="20"/>
      <c r="K41" s="20"/>
      <c r="L41" s="28"/>
      <c r="M41" s="28"/>
      <c r="N41" s="28"/>
      <c r="O41" s="28"/>
      <c r="P41" s="28"/>
      <c r="Q41" s="28"/>
      <c r="R41" s="28"/>
      <c r="S41" s="20"/>
      <c r="T41" s="20"/>
    </row>
    <row r="42" spans="2:20" ht="12.75" customHeight="1">
      <c r="B42" s="18">
        <v>0</v>
      </c>
      <c r="C42" s="18">
        <v>0</v>
      </c>
      <c r="D42" s="18">
        <v>0</v>
      </c>
      <c r="E42" s="18">
        <v>0.30266718859735675</v>
      </c>
      <c r="F42" s="18">
        <v>-1.4031187152835831E-3</v>
      </c>
      <c r="G42" s="18">
        <v>-1.196005177419362E-3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</row>
    <row r="43" spans="2:20" ht="12.75" customHeight="1">
      <c r="B43" s="18">
        <v>0</v>
      </c>
      <c r="C43" s="18">
        <v>0</v>
      </c>
      <c r="D43" s="18">
        <v>0</v>
      </c>
      <c r="E43" s="18">
        <v>0</v>
      </c>
      <c r="F43" s="18">
        <v>1.0034979666672261</v>
      </c>
      <c r="G43" s="18">
        <v>-9.3940514751111575E-3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</row>
    <row r="44" spans="2:20" ht="12.75" customHeight="1">
      <c r="B44" s="18">
        <v>0</v>
      </c>
      <c r="C44" s="18">
        <v>0</v>
      </c>
      <c r="D44" s="18">
        <v>0</v>
      </c>
      <c r="E44" s="18">
        <v>0</v>
      </c>
      <c r="F44" s="18">
        <v>0</v>
      </c>
      <c r="G44" s="18">
        <v>1.0131811411167329</v>
      </c>
      <c r="I44" s="33" t="s">
        <v>38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</row>
    <row r="45" spans="2:20" ht="12.75" customHeight="1"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</row>
    <row r="46" spans="2:20" ht="12.75" customHeight="1"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</row>
    <row r="47" spans="2:20" ht="12.75" customHeight="1"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</row>
    <row r="48" spans="2:20" ht="12.75" customHeight="1"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</row>
    <row r="49" spans="9:20" ht="12.75" customHeight="1"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</row>
    <row r="50" spans="9:20" ht="12.75" customHeight="1"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</row>
    <row r="51" spans="9:20" ht="12.75" customHeight="1">
      <c r="I51" s="33" t="s">
        <v>43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</row>
    <row r="52" spans="9:20" ht="12.75" customHeight="1"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</row>
    <row r="53" spans="9:20" ht="12.75" customHeight="1">
      <c r="I53" s="33" t="s">
        <v>44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</row>
    <row r="54" spans="9:20" ht="12.75" customHeight="1"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</row>
    <row r="55" spans="9:20" ht="12.75" customHeight="1"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</row>
    <row r="56" spans="9:20" ht="12.75" customHeight="1"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</row>
    <row r="57" spans="9:20" ht="12.75" customHeight="1"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</row>
    <row r="58" spans="9:20" ht="12.75" customHeight="1"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</row>
    <row r="59" spans="9:20" ht="12.75" customHeight="1"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</row>
    <row r="60" spans="9:20" ht="12.75" customHeight="1">
      <c r="I60" s="33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</row>
    <row r="61" spans="9:20" ht="12.75" customHeight="1"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</row>
    <row r="62" spans="9:20" ht="12.75" customHeight="1"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</row>
    <row r="63" spans="9:20" ht="12.75" customHeight="1"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</row>
    <row r="64" spans="9:20" ht="12.75" customHeight="1"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</row>
    <row r="65" spans="9:20" ht="12.75" customHeight="1"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</row>
    <row r="66" spans="9:20" ht="12.75" customHeight="1"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</row>
    <row r="67" spans="9:20" ht="12.75" customHeight="1"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</row>
    <row r="68" spans="9:20" ht="12.75" customHeight="1"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</row>
    <row r="69" spans="9:20" ht="12.75" customHeight="1"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</row>
    <row r="70" spans="9:20" ht="12.75" customHeight="1"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</row>
    <row r="71" spans="9:20" ht="12.75" customHeight="1"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</row>
    <row r="72" spans="9:20" ht="12.75" customHeight="1"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</row>
    <row r="73" spans="9:20" ht="12.75" customHeight="1"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</row>
    <row r="74" spans="9:20" ht="12.75" customHeight="1"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</row>
    <row r="75" spans="9:20" ht="12.75" customHeight="1"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</row>
    <row r="76" spans="9:20" ht="12.75" customHeight="1"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</row>
    <row r="77" spans="9:20" ht="12.75" customHeight="1"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</row>
    <row r="78" spans="9:20" ht="12.75" customHeight="1"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</row>
    <row r="79" spans="9:20" ht="12.75" customHeight="1"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</row>
    <row r="80" spans="9:20" ht="12.75" customHeight="1">
      <c r="I80" s="33" t="s">
        <v>45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</row>
    <row r="81" spans="9:20" ht="12.75" customHeight="1"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</row>
    <row r="82" spans="9:20" ht="12.75" customHeight="1"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</row>
    <row r="83" spans="9:20" ht="12.75" customHeight="1"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</row>
    <row r="84" spans="9:20" ht="12.75" customHeight="1"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</row>
    <row r="85" spans="9:20" ht="12.75" customHeight="1"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</row>
    <row r="86" spans="9:20" ht="12.75" customHeight="1"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</row>
    <row r="87" spans="9:20" ht="12.75" customHeight="1"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</row>
    <row r="88" spans="9:20" ht="12.75" customHeight="1"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</row>
    <row r="89" spans="9:20" ht="12.75" customHeight="1"/>
    <row r="90" spans="9:20" ht="12.75" customHeight="1"/>
    <row r="91" spans="9:20" ht="12.75" customHeight="1"/>
    <row r="92" spans="9:20" ht="12.75" customHeight="1"/>
    <row r="93" spans="9:20" ht="12.75" customHeight="1"/>
    <row r="94" spans="9:20" ht="12.75" customHeight="1"/>
    <row r="95" spans="9:20" ht="12.75" customHeight="1"/>
    <row r="96" spans="9:20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</sheetData>
  <mergeCells count="16">
    <mergeCell ref="I3:K3"/>
    <mergeCell ref="M3:R3"/>
    <mergeCell ref="I14:J14"/>
    <mergeCell ref="K14:L14"/>
    <mergeCell ref="M14:N14"/>
    <mergeCell ref="O14:P14"/>
    <mergeCell ref="Q14:R14"/>
    <mergeCell ref="S14:T14"/>
    <mergeCell ref="B14:C14"/>
    <mergeCell ref="B15:C15"/>
    <mergeCell ref="B16:C16"/>
    <mergeCell ref="B17:C17"/>
    <mergeCell ref="D14:E14"/>
    <mergeCell ref="D15:E15"/>
    <mergeCell ref="D16:E16"/>
    <mergeCell ref="D17:E17"/>
  </mergeCells>
  <pageMargins left="0.7" right="0.7" top="0.75" bottom="0.75" header="0.3" footer="0.3"/>
  <pageSetup orientation="portrait" r:id="rId1"/>
  <legacyDrawing r:id="rId2"/>
  <oleObjects>
    <oleObject progId="Equation.3" shapeId="1025" r:id="rId3"/>
    <oleObject progId="Equation.3" shapeId="1026" r:id="rId4"/>
    <oleObject progId="Equation.3" shapeId="1027" r:id="rId5"/>
    <oleObject progId="Equation.3" shapeId="1028" r:id="rId6"/>
    <oleObject progId="Equation.3" shapeId="1029" r:id="rId7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MarketData</vt:lpstr>
      <vt:lpstr>Example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Vishal Saxena</cp:lastModifiedBy>
  <dcterms:created xsi:type="dcterms:W3CDTF">2009-01-21T17:27:55Z</dcterms:created>
  <dcterms:modified xsi:type="dcterms:W3CDTF">2013-08-22T18:39:25Z</dcterms:modified>
</cp:coreProperties>
</file>