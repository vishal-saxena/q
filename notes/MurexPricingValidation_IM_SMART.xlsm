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Objects="none" codeName="ThisWorkbook" defaultThemeVersion="124226"/>
  <bookViews>
    <workbookView xWindow="360" yWindow="75" windowWidth="20955" windowHeight="10485" tabRatio="815" activeTab="1"/>
  </bookViews>
  <sheets>
    <sheet name="Summary" sheetId="12" r:id="rId1"/>
    <sheet name="Pricing" sheetId="1" r:id="rId2"/>
    <sheet name="Sensitivities" sheetId="7" r:id="rId3"/>
    <sheet name="Inflation Sens - Compare" sheetId="8" r:id="rId4"/>
    <sheet name="Interest Rate Sens - Compare" sheetId="9" r:id="rId5"/>
    <sheet name="Curves" sheetId="4" r:id="rId6"/>
    <sheet name="Fixings" sheetId="5" r:id="rId7"/>
    <sheet name="Holidays" sheetId="6" r:id="rId8"/>
    <sheet name="MX PV" sheetId="11" r:id="rId9"/>
    <sheet name="MX Inflation Sensi" sheetId="10" r:id="rId10"/>
    <sheet name="MX IRS Sensi" sheetId="13" r:id="rId11"/>
  </sheets>
  <functionGroups/>
  <definedNames>
    <definedName name="_xlnm._FilterDatabase" localSheetId="5" hidden="1">Curves!$H$44:$I$44</definedName>
    <definedName name="_xlnm._FilterDatabase" localSheetId="1" hidden="1">Pricing!$A$9:$W$139</definedName>
    <definedName name="EUR_CPIs">Curves!$R$25:$R$39</definedName>
    <definedName name="EUR_Disc">Curves!$F$6:$G$42</definedName>
    <definedName name="EUR_Fixings">Fixings!$J$4:$K$224</definedName>
    <definedName name="EUR_INFDates">Curves!$P$25:$P$39</definedName>
    <definedName name="EUR_LastCPI">Curves!$P$22</definedName>
    <definedName name="EUR_LastDate">Curves!$P$21</definedName>
    <definedName name="EUR_Quotes">Curves!$Q$25:$Q$39</definedName>
    <definedName name="EUR_RefCPI">Curves!$P$20</definedName>
    <definedName name="EUR_RefDate">Curves!$P$19</definedName>
    <definedName name="EUR_Seaso">Curves!$Q$5:$Q$16</definedName>
    <definedName name="EURHols">Holidays!$B$3:$B$377</definedName>
    <definedName name="FR_CPIs">Curves!$U$25:$U$39</definedName>
    <definedName name="FR_Fixings">Fixings!$A$4:$B$188</definedName>
    <definedName name="FR_INFDates">Curves!$S$25:$S$39</definedName>
    <definedName name="FR_LastCPI">Curves!$S$22</definedName>
    <definedName name="FR_LastDate">Curves!$S$21</definedName>
    <definedName name="FR_Quotes">Curves!$T$25:$T$39</definedName>
    <definedName name="FR_RefCPI">Curves!$S$20</definedName>
    <definedName name="FR_RefDate">Curves!$S$19</definedName>
    <definedName name="FR_Seaso">Curves!$T$5:$T$16</definedName>
    <definedName name="GB_CPIs">Curves!$O$25:$O$41</definedName>
    <definedName name="GB_Fixings">Fixings!$D$4:$E$187</definedName>
    <definedName name="GB_INFDates">Curves!$M$25:$M$41</definedName>
    <definedName name="GB_LastCPI">Curves!$M$22</definedName>
    <definedName name="GB_LastDate">Curves!$M$21</definedName>
    <definedName name="GB_Quotes">Curves!$N$25:$N$41</definedName>
    <definedName name="GB_RefCPI">Curves!$M$20</definedName>
    <definedName name="GB_RefDate">Curves!$M$19</definedName>
    <definedName name="GB_Seaso">Curves!$N$5:$N$16</definedName>
    <definedName name="GBP_Disc">Curves!$C$6:$D$42</definedName>
    <definedName name="GBPHols">Holidays!$D$3:$D$613</definedName>
    <definedName name="US_CPIs">Curves!$X$25:$X$39</definedName>
    <definedName name="US_Fixings">Fixings!$G$4:$H$187</definedName>
    <definedName name="US_INFDates">Curves!$V$25:$V$39</definedName>
    <definedName name="US_LastCPI">Curves!$V$22</definedName>
    <definedName name="US_LastDate">Curves!$V$21</definedName>
    <definedName name="US_Quotes">Curves!$W$25:$W$39</definedName>
    <definedName name="US_RefCPI">Curves!$V$20</definedName>
    <definedName name="US_RefDate">Curves!$V$19</definedName>
    <definedName name="US_Seaso">Curves!$W$5:$W$16</definedName>
    <definedName name="USD_Disc">Curves!$I$6:$J$42</definedName>
    <definedName name="USDHols">Holidays!$C$3:$C$727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B8" i="8"/>
  <c r="B7"/>
  <c r="B6"/>
  <c r="B5"/>
  <c r="C124" i="9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4"/>
  <c r="C85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A44" i="13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C6" i="12"/>
  <c r="C14"/>
  <c r="C22"/>
  <c r="D21"/>
  <c r="G21"/>
  <c r="D22"/>
  <c r="E22"/>
  <c r="F22"/>
  <c r="G22"/>
  <c r="H22"/>
  <c r="I22"/>
  <c r="D14"/>
  <c r="E14"/>
  <c r="F14"/>
  <c r="G14"/>
  <c r="H14"/>
  <c r="I14"/>
  <c r="J14"/>
  <c r="K14"/>
  <c r="L14"/>
  <c r="M14"/>
  <c r="N14"/>
  <c r="O14"/>
  <c r="P14"/>
  <c r="Q14"/>
  <c r="R14"/>
  <c r="D13"/>
  <c r="G13"/>
  <c r="J13"/>
  <c r="M13"/>
  <c r="P13"/>
  <c r="D6"/>
  <c r="E6"/>
  <c r="F6"/>
  <c r="C7"/>
  <c r="C8"/>
  <c r="C9"/>
  <c r="C10"/>
  <c r="D5"/>
  <c r="B7" i="9"/>
  <c r="C25" i="12" s="1"/>
  <c r="B6" i="9"/>
  <c r="C24" i="12" s="1"/>
  <c r="B5" i="9"/>
  <c r="C23" i="12" s="1"/>
  <c r="A3" i="1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2"/>
  <c r="D124" i="9" l="1"/>
  <c r="D84"/>
  <c r="D85"/>
  <c r="G84"/>
  <c r="G124"/>
  <c r="G85"/>
  <c r="D52"/>
  <c r="D56"/>
  <c r="D60"/>
  <c r="D64"/>
  <c r="D68"/>
  <c r="D72"/>
  <c r="D76"/>
  <c r="D80"/>
  <c r="G52"/>
  <c r="G56"/>
  <c r="G60"/>
  <c r="G64"/>
  <c r="G68"/>
  <c r="G72"/>
  <c r="G76"/>
  <c r="G80"/>
  <c r="D91"/>
  <c r="D95"/>
  <c r="D99"/>
  <c r="D103"/>
  <c r="D107"/>
  <c r="D111"/>
  <c r="D115"/>
  <c r="D119"/>
  <c r="D123"/>
  <c r="G91"/>
  <c r="G95"/>
  <c r="G99"/>
  <c r="G103"/>
  <c r="G107"/>
  <c r="G111"/>
  <c r="G115"/>
  <c r="G119"/>
  <c r="G123"/>
  <c r="D51"/>
  <c r="D55"/>
  <c r="D59"/>
  <c r="D63"/>
  <c r="D67"/>
  <c r="D71"/>
  <c r="D75"/>
  <c r="D79"/>
  <c r="D83"/>
  <c r="G51"/>
  <c r="G55"/>
  <c r="G59"/>
  <c r="G63"/>
  <c r="G67"/>
  <c r="G71"/>
  <c r="G75"/>
  <c r="G79"/>
  <c r="G83"/>
  <c r="D90"/>
  <c r="D94"/>
  <c r="D98"/>
  <c r="D102"/>
  <c r="D106"/>
  <c r="D110"/>
  <c r="D114"/>
  <c r="D118"/>
  <c r="D122"/>
  <c r="G90"/>
  <c r="G94"/>
  <c r="G98"/>
  <c r="G102"/>
  <c r="G106"/>
  <c r="G110"/>
  <c r="G114"/>
  <c r="G118"/>
  <c r="G122"/>
  <c r="D50"/>
  <c r="D54"/>
  <c r="D58"/>
  <c r="D62"/>
  <c r="D66"/>
  <c r="D70"/>
  <c r="D74"/>
  <c r="D78"/>
  <c r="D82"/>
  <c r="G50"/>
  <c r="G54"/>
  <c r="G58"/>
  <c r="G62"/>
  <c r="G66"/>
  <c r="G70"/>
  <c r="G74"/>
  <c r="G78"/>
  <c r="G82"/>
  <c r="D89"/>
  <c r="D93"/>
  <c r="D97"/>
  <c r="D101"/>
  <c r="D105"/>
  <c r="D109"/>
  <c r="D113"/>
  <c r="D117"/>
  <c r="D121"/>
  <c r="G89"/>
  <c r="G93"/>
  <c r="G97"/>
  <c r="G101"/>
  <c r="G105"/>
  <c r="G109"/>
  <c r="G113"/>
  <c r="G117"/>
  <c r="G121"/>
  <c r="D49"/>
  <c r="D53"/>
  <c r="D57"/>
  <c r="D61"/>
  <c r="D65"/>
  <c r="D69"/>
  <c r="D73"/>
  <c r="D77"/>
  <c r="D81"/>
  <c r="G49"/>
  <c r="G53"/>
  <c r="G57"/>
  <c r="G61"/>
  <c r="G65"/>
  <c r="G69"/>
  <c r="G73"/>
  <c r="G77"/>
  <c r="G81"/>
  <c r="D88"/>
  <c r="D92"/>
  <c r="D96"/>
  <c r="D100"/>
  <c r="D104"/>
  <c r="D108"/>
  <c r="D112"/>
  <c r="D116"/>
  <c r="D120"/>
  <c r="G88"/>
  <c r="G92"/>
  <c r="G96"/>
  <c r="G100"/>
  <c r="G104"/>
  <c r="G108"/>
  <c r="G112"/>
  <c r="G116"/>
  <c r="G120"/>
  <c r="D41"/>
  <c r="G11"/>
  <c r="G15"/>
  <c r="G19"/>
  <c r="G23"/>
  <c r="G27"/>
  <c r="G31"/>
  <c r="G35"/>
  <c r="G39"/>
  <c r="G43"/>
  <c r="G10"/>
  <c r="G14"/>
  <c r="G18"/>
  <c r="G22"/>
  <c r="G26"/>
  <c r="G30"/>
  <c r="G34"/>
  <c r="G38"/>
  <c r="G42"/>
  <c r="G46"/>
  <c r="G13"/>
  <c r="G17"/>
  <c r="G21"/>
  <c r="G25"/>
  <c r="G29"/>
  <c r="G33"/>
  <c r="G37"/>
  <c r="G41"/>
  <c r="G45"/>
  <c r="G12"/>
  <c r="G16"/>
  <c r="G20"/>
  <c r="G24"/>
  <c r="G28"/>
  <c r="G32"/>
  <c r="G36"/>
  <c r="G40"/>
  <c r="G44"/>
  <c r="D11"/>
  <c r="D15"/>
  <c r="D19"/>
  <c r="D23"/>
  <c r="D27"/>
  <c r="D31"/>
  <c r="D35"/>
  <c r="D39"/>
  <c r="D43"/>
  <c r="D10"/>
  <c r="D14"/>
  <c r="D18"/>
  <c r="D22"/>
  <c r="D26"/>
  <c r="D30"/>
  <c r="D34"/>
  <c r="D38"/>
  <c r="D42"/>
  <c r="D46"/>
  <c r="D13"/>
  <c r="D17"/>
  <c r="D21"/>
  <c r="D25"/>
  <c r="D29"/>
  <c r="D33"/>
  <c r="D37"/>
  <c r="D45"/>
  <c r="D12"/>
  <c r="D16"/>
  <c r="D20"/>
  <c r="D24"/>
  <c r="D28"/>
  <c r="D32"/>
  <c r="D36"/>
  <c r="D40"/>
  <c r="D44"/>
  <c r="C18" i="12"/>
  <c r="C17"/>
  <c r="C16"/>
  <c r="C15"/>
  <c r="V139" i="1" l="1"/>
  <c r="V138"/>
  <c r="V137"/>
  <c r="V136"/>
  <c r="V135"/>
  <c r="V134"/>
  <c r="V133"/>
  <c r="V132"/>
  <c r="V131"/>
  <c r="V130"/>
  <c r="V129"/>
  <c r="V128"/>
  <c r="V127"/>
  <c r="V126"/>
  <c r="V125"/>
  <c r="V124"/>
  <c r="V123"/>
  <c r="V122"/>
  <c r="V121"/>
  <c r="V120"/>
  <c r="V119"/>
  <c r="V118"/>
  <c r="V117"/>
  <c r="V116"/>
  <c r="V115"/>
  <c r="V114"/>
  <c r="V113"/>
  <c r="V112"/>
  <c r="V111"/>
  <c r="V110"/>
  <c r="V109"/>
  <c r="V108"/>
  <c r="V107"/>
  <c r="V106"/>
  <c r="V105"/>
  <c r="V104"/>
  <c r="V103"/>
  <c r="V102"/>
  <c r="V101"/>
  <c r="V100"/>
  <c r="V99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V57"/>
  <c r="V56"/>
  <c r="V55"/>
  <c r="V54"/>
  <c r="V53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A3" i="10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2"/>
  <c r="P79" i="8" l="1"/>
  <c r="D79"/>
  <c r="G78"/>
  <c r="J77"/>
  <c r="M76"/>
  <c r="P75"/>
  <c r="D75"/>
  <c r="G74"/>
  <c r="J73"/>
  <c r="M72"/>
  <c r="P71"/>
  <c r="D71"/>
  <c r="G70"/>
  <c r="J69"/>
  <c r="M68"/>
  <c r="P67"/>
  <c r="D67"/>
  <c r="G66"/>
  <c r="J65"/>
  <c r="M62"/>
  <c r="P61"/>
  <c r="D61"/>
  <c r="G60"/>
  <c r="J59"/>
  <c r="M58"/>
  <c r="P57"/>
  <c r="D57"/>
  <c r="G56"/>
  <c r="J55"/>
  <c r="M54"/>
  <c r="P53"/>
  <c r="D53"/>
  <c r="G52"/>
  <c r="J51"/>
  <c r="M50"/>
  <c r="P49"/>
  <c r="D49"/>
  <c r="G48"/>
  <c r="J45"/>
  <c r="M44"/>
  <c r="P43"/>
  <c r="D43"/>
  <c r="G42"/>
  <c r="J41"/>
  <c r="M40"/>
  <c r="P39"/>
  <c r="D39"/>
  <c r="G38"/>
  <c r="J37"/>
  <c r="M36"/>
  <c r="P35"/>
  <c r="D35"/>
  <c r="G34"/>
  <c r="G79"/>
  <c r="J78"/>
  <c r="M77"/>
  <c r="P76"/>
  <c r="D76"/>
  <c r="G75"/>
  <c r="J74"/>
  <c r="M73"/>
  <c r="P72"/>
  <c r="D72"/>
  <c r="G71"/>
  <c r="J70"/>
  <c r="M69"/>
  <c r="P68"/>
  <c r="D68"/>
  <c r="G67"/>
  <c r="J66"/>
  <c r="M65"/>
  <c r="P62"/>
  <c r="D62"/>
  <c r="G61"/>
  <c r="J60"/>
  <c r="M59"/>
  <c r="P58"/>
  <c r="D58"/>
  <c r="G57"/>
  <c r="J56"/>
  <c r="M55"/>
  <c r="P54"/>
  <c r="D54"/>
  <c r="G53"/>
  <c r="J52"/>
  <c r="M51"/>
  <c r="P50"/>
  <c r="D50"/>
  <c r="G49"/>
  <c r="J48"/>
  <c r="M45"/>
  <c r="P44"/>
  <c r="D44"/>
  <c r="G43"/>
  <c r="J79"/>
  <c r="M78"/>
  <c r="P77"/>
  <c r="D77"/>
  <c r="G76"/>
  <c r="J75"/>
  <c r="M74"/>
  <c r="P73"/>
  <c r="D73"/>
  <c r="G72"/>
  <c r="J71"/>
  <c r="M70"/>
  <c r="P69"/>
  <c r="D69"/>
  <c r="G68"/>
  <c r="J67"/>
  <c r="M66"/>
  <c r="M79"/>
  <c r="P78"/>
  <c r="D78"/>
  <c r="G77"/>
  <c r="J76"/>
  <c r="M75"/>
  <c r="P74"/>
  <c r="D74"/>
  <c r="G73"/>
  <c r="M71"/>
  <c r="J68"/>
  <c r="P65"/>
  <c r="G62"/>
  <c r="M60"/>
  <c r="D59"/>
  <c r="J57"/>
  <c r="P55"/>
  <c r="G54"/>
  <c r="M52"/>
  <c r="D51"/>
  <c r="J49"/>
  <c r="P45"/>
  <c r="G44"/>
  <c r="M42"/>
  <c r="M41"/>
  <c r="J40"/>
  <c r="J39"/>
  <c r="J38"/>
  <c r="G37"/>
  <c r="G36"/>
  <c r="G35"/>
  <c r="D34"/>
  <c r="G33"/>
  <c r="J32"/>
  <c r="M31"/>
  <c r="M28"/>
  <c r="M24"/>
  <c r="M20"/>
  <c r="M16"/>
  <c r="M12"/>
  <c r="P25"/>
  <c r="P21"/>
  <c r="P17"/>
  <c r="P13"/>
  <c r="J26"/>
  <c r="J22"/>
  <c r="J18"/>
  <c r="J14"/>
  <c r="G27"/>
  <c r="G23"/>
  <c r="G19"/>
  <c r="G15"/>
  <c r="D28"/>
  <c r="D24"/>
  <c r="D20"/>
  <c r="D16"/>
  <c r="D12"/>
  <c r="M35"/>
  <c r="D32"/>
  <c r="M18"/>
  <c r="P19"/>
  <c r="J20"/>
  <c r="G25"/>
  <c r="D26"/>
  <c r="J72"/>
  <c r="G69"/>
  <c r="D66"/>
  <c r="J62"/>
  <c r="P60"/>
  <c r="G59"/>
  <c r="M57"/>
  <c r="D56"/>
  <c r="J54"/>
  <c r="P52"/>
  <c r="G51"/>
  <c r="M49"/>
  <c r="D48"/>
  <c r="J44"/>
  <c r="P42"/>
  <c r="P41"/>
  <c r="P40"/>
  <c r="M39"/>
  <c r="M38"/>
  <c r="M37"/>
  <c r="J36"/>
  <c r="J35"/>
  <c r="J34"/>
  <c r="J33"/>
  <c r="M32"/>
  <c r="P31"/>
  <c r="D31"/>
  <c r="M25"/>
  <c r="M21"/>
  <c r="M17"/>
  <c r="M13"/>
  <c r="P26"/>
  <c r="P22"/>
  <c r="P18"/>
  <c r="P14"/>
  <c r="J27"/>
  <c r="J23"/>
  <c r="J19"/>
  <c r="J15"/>
  <c r="G28"/>
  <c r="G24"/>
  <c r="G20"/>
  <c r="G16"/>
  <c r="G12"/>
  <c r="D25"/>
  <c r="D21"/>
  <c r="D17"/>
  <c r="D13"/>
  <c r="P36"/>
  <c r="P32"/>
  <c r="M22"/>
  <c r="P23"/>
  <c r="J28"/>
  <c r="J12"/>
  <c r="G13"/>
  <c r="D14"/>
  <c r="D70"/>
  <c r="P66"/>
  <c r="D65"/>
  <c r="J61"/>
  <c r="P59"/>
  <c r="G58"/>
  <c r="M56"/>
  <c r="D55"/>
  <c r="J53"/>
  <c r="P51"/>
  <c r="G50"/>
  <c r="M48"/>
  <c r="D45"/>
  <c r="J43"/>
  <c r="D42"/>
  <c r="D41"/>
  <c r="D40"/>
  <c r="P37"/>
  <c r="M34"/>
  <c r="G31"/>
  <c r="M14"/>
  <c r="J24"/>
  <c r="G21"/>
  <c r="D22"/>
  <c r="P70"/>
  <c r="M67"/>
  <c r="G65"/>
  <c r="M61"/>
  <c r="D60"/>
  <c r="J58"/>
  <c r="P56"/>
  <c r="G55"/>
  <c r="M53"/>
  <c r="D52"/>
  <c r="J50"/>
  <c r="P48"/>
  <c r="G45"/>
  <c r="M43"/>
  <c r="J42"/>
  <c r="G41"/>
  <c r="G40"/>
  <c r="G39"/>
  <c r="D38"/>
  <c r="D37"/>
  <c r="D36"/>
  <c r="P34"/>
  <c r="P33"/>
  <c r="D33"/>
  <c r="G32"/>
  <c r="J31"/>
  <c r="M27"/>
  <c r="M23"/>
  <c r="M19"/>
  <c r="M15"/>
  <c r="P28"/>
  <c r="P24"/>
  <c r="P20"/>
  <c r="P16"/>
  <c r="P12"/>
  <c r="J25"/>
  <c r="J21"/>
  <c r="J17"/>
  <c r="J13"/>
  <c r="G26"/>
  <c r="G22"/>
  <c r="G18"/>
  <c r="G14"/>
  <c r="D27"/>
  <c r="D23"/>
  <c r="D19"/>
  <c r="D15"/>
  <c r="P38"/>
  <c r="M33"/>
  <c r="M26"/>
  <c r="P27"/>
  <c r="P15"/>
  <c r="J16"/>
  <c r="G17"/>
  <c r="D18"/>
  <c r="C20" i="1"/>
  <c r="I20"/>
  <c r="J20" s="1"/>
  <c r="S20"/>
  <c r="S21" l="1"/>
  <c r="I21"/>
  <c r="J21" s="1"/>
  <c r="C21"/>
  <c r="S19" l="1"/>
  <c r="I19"/>
  <c r="J19" s="1"/>
  <c r="C19"/>
  <c r="S18" l="1"/>
  <c r="I18"/>
  <c r="C18"/>
  <c r="L43"/>
  <c r="L42"/>
  <c r="S10"/>
  <c r="B3"/>
  <c r="B4"/>
  <c r="K19"/>
  <c r="K20"/>
  <c r="J18" l="1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2"/>
  <c r="S121"/>
  <c r="S120"/>
  <c r="S119"/>
  <c r="S118"/>
  <c r="S117"/>
  <c r="S116"/>
  <c r="S115"/>
  <c r="S114"/>
  <c r="S113"/>
  <c r="S112"/>
  <c r="S111"/>
  <c r="S110"/>
  <c r="S109"/>
  <c r="S108"/>
  <c r="S107"/>
  <c r="S106"/>
  <c r="S105"/>
  <c r="S104"/>
  <c r="S103"/>
  <c r="S102"/>
  <c r="S101"/>
  <c r="S100"/>
  <c r="S99"/>
  <c r="S98"/>
  <c r="S97"/>
  <c r="S96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69"/>
  <c r="S68"/>
  <c r="S67"/>
  <c r="S66"/>
  <c r="S65"/>
  <c r="S64"/>
  <c r="S63"/>
  <c r="S62"/>
  <c r="S61"/>
  <c r="S60"/>
  <c r="S59"/>
  <c r="S58"/>
  <c r="S57"/>
  <c r="S56"/>
  <c r="S55"/>
  <c r="S54"/>
  <c r="S53"/>
  <c r="S52"/>
  <c r="S51"/>
  <c r="S50"/>
  <c r="S49"/>
  <c r="S48"/>
  <c r="S47"/>
  <c r="S46"/>
  <c r="S45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17"/>
  <c r="S16"/>
  <c r="S15"/>
  <c r="S14"/>
  <c r="S13"/>
  <c r="S12"/>
  <c r="S11"/>
  <c r="P19"/>
  <c r="O19"/>
  <c r="K21"/>
  <c r="O20"/>
  <c r="P20"/>
  <c r="L20"/>
  <c r="K18"/>
  <c r="L19"/>
  <c r="N20"/>
  <c r="P21"/>
  <c r="L21"/>
  <c r="M20"/>
  <c r="Q20"/>
  <c r="N19"/>
  <c r="Q19"/>
  <c r="I139" l="1"/>
  <c r="C139"/>
  <c r="O18"/>
  <c r="Q21"/>
  <c r="O21"/>
  <c r="M21"/>
  <c r="T21" s="1"/>
  <c r="N21"/>
  <c r="P18"/>
  <c r="L18"/>
  <c r="N18" s="1"/>
  <c r="M19"/>
  <c r="T20"/>
  <c r="J139" l="1"/>
  <c r="I138"/>
  <c r="C138"/>
  <c r="M18"/>
  <c r="Q18"/>
  <c r="K139"/>
  <c r="T19"/>
  <c r="J138" l="1"/>
  <c r="I137"/>
  <c r="C137"/>
  <c r="T18"/>
  <c r="P139"/>
  <c r="O139"/>
  <c r="L139"/>
  <c r="J137" l="1"/>
  <c r="I136"/>
  <c r="C136"/>
  <c r="I135"/>
  <c r="C135"/>
  <c r="K138"/>
  <c r="M139"/>
  <c r="N139"/>
  <c r="K137"/>
  <c r="Q139"/>
  <c r="J136" l="1"/>
  <c r="J135"/>
  <c r="I134"/>
  <c r="C134"/>
  <c r="L137"/>
  <c r="P137"/>
  <c r="O138"/>
  <c r="O137"/>
  <c r="P138"/>
  <c r="L138"/>
  <c r="T139"/>
  <c r="K136"/>
  <c r="L136" s="1"/>
  <c r="O136"/>
  <c r="Q138"/>
  <c r="J134" l="1"/>
  <c r="I133"/>
  <c r="J133" s="1"/>
  <c r="C133"/>
  <c r="I132"/>
  <c r="J132" s="1"/>
  <c r="C132"/>
  <c r="I131"/>
  <c r="Q137"/>
  <c r="M137"/>
  <c r="N138"/>
  <c r="P136"/>
  <c r="M136"/>
  <c r="Q136"/>
  <c r="N137"/>
  <c r="M138"/>
  <c r="T138" s="1"/>
  <c r="N136"/>
  <c r="J131" l="1"/>
  <c r="C131"/>
  <c r="T137"/>
  <c r="K131"/>
  <c r="P131" s="1"/>
  <c r="T136"/>
  <c r="I130" l="1"/>
  <c r="O131"/>
  <c r="L131"/>
  <c r="Q131" s="1"/>
  <c r="M131"/>
  <c r="J130" l="1"/>
  <c r="C130"/>
  <c r="T131"/>
  <c r="K130"/>
  <c r="I129" l="1"/>
  <c r="J129" s="1"/>
  <c r="C129"/>
  <c r="L130"/>
  <c r="O130"/>
  <c r="P130"/>
  <c r="I128" l="1"/>
  <c r="K129"/>
  <c r="M130"/>
  <c r="Q130"/>
  <c r="J128" l="1"/>
  <c r="C128"/>
  <c r="K128"/>
  <c r="O129"/>
  <c r="P129"/>
  <c r="L129"/>
  <c r="T130"/>
  <c r="I127" l="1"/>
  <c r="J127" s="1"/>
  <c r="C127"/>
  <c r="P128"/>
  <c r="L128"/>
  <c r="M129"/>
  <c r="Q129"/>
  <c r="O128"/>
  <c r="I126" l="1"/>
  <c r="T129"/>
  <c r="M128"/>
  <c r="Q128"/>
  <c r="K127"/>
  <c r="J126" l="1"/>
  <c r="C126"/>
  <c r="I123"/>
  <c r="C123"/>
  <c r="T128"/>
  <c r="P127"/>
  <c r="K126"/>
  <c r="O127"/>
  <c r="L127"/>
  <c r="J123" l="1"/>
  <c r="I122"/>
  <c r="C122"/>
  <c r="M127"/>
  <c r="P126"/>
  <c r="O126"/>
  <c r="Q127"/>
  <c r="L126"/>
  <c r="J122" l="1"/>
  <c r="I121"/>
  <c r="C121"/>
  <c r="M126"/>
  <c r="Q126"/>
  <c r="T127"/>
  <c r="J121" l="1"/>
  <c r="I120"/>
  <c r="C120"/>
  <c r="I119"/>
  <c r="C119"/>
  <c r="Q119"/>
  <c r="M119"/>
  <c r="T126"/>
  <c r="J120" l="1"/>
  <c r="J119"/>
  <c r="I118"/>
  <c r="C118"/>
  <c r="K119"/>
  <c r="Q118"/>
  <c r="J118" l="1"/>
  <c r="I117"/>
  <c r="C117"/>
  <c r="K118"/>
  <c r="T119"/>
  <c r="N119"/>
  <c r="Q117"/>
  <c r="O119"/>
  <c r="P119"/>
  <c r="M118"/>
  <c r="J117" l="1"/>
  <c r="I116"/>
  <c r="C116"/>
  <c r="M117"/>
  <c r="P118"/>
  <c r="N118"/>
  <c r="Q116"/>
  <c r="T118"/>
  <c r="O118"/>
  <c r="K117"/>
  <c r="J116" l="1"/>
  <c r="I115"/>
  <c r="C115"/>
  <c r="O117"/>
  <c r="N117"/>
  <c r="T117"/>
  <c r="K116"/>
  <c r="P117"/>
  <c r="M116"/>
  <c r="Q115"/>
  <c r="J115" l="1"/>
  <c r="I114"/>
  <c r="C114"/>
  <c r="P116"/>
  <c r="O116"/>
  <c r="M115"/>
  <c r="N116"/>
  <c r="Q114"/>
  <c r="K115"/>
  <c r="T116"/>
  <c r="J114" l="1"/>
  <c r="I113"/>
  <c r="C113"/>
  <c r="N115"/>
  <c r="M114"/>
  <c r="O115"/>
  <c r="T115"/>
  <c r="K114"/>
  <c r="Q113"/>
  <c r="P115"/>
  <c r="J113" l="1"/>
  <c r="I112"/>
  <c r="C112"/>
  <c r="N114"/>
  <c r="O114"/>
  <c r="M113"/>
  <c r="T114"/>
  <c r="P114"/>
  <c r="Q112"/>
  <c r="K113"/>
  <c r="J112" l="1"/>
  <c r="I111"/>
  <c r="C111"/>
  <c r="N113"/>
  <c r="M112"/>
  <c r="O113"/>
  <c r="Q111"/>
  <c r="T113"/>
  <c r="K112"/>
  <c r="P113"/>
  <c r="J111" l="1"/>
  <c r="I110"/>
  <c r="C110"/>
  <c r="K111"/>
  <c r="P112"/>
  <c r="Q110"/>
  <c r="T112"/>
  <c r="N112"/>
  <c r="O112"/>
  <c r="M111"/>
  <c r="J110" l="1"/>
  <c r="I109"/>
  <c r="C109"/>
  <c r="T111"/>
  <c r="O111"/>
  <c r="M110"/>
  <c r="N111"/>
  <c r="Q109"/>
  <c r="K110"/>
  <c r="P111"/>
  <c r="J109" l="1"/>
  <c r="I108"/>
  <c r="C108"/>
  <c r="T110"/>
  <c r="K109"/>
  <c r="N110"/>
  <c r="Q108"/>
  <c r="M109"/>
  <c r="O110"/>
  <c r="P110"/>
  <c r="J108" l="1"/>
  <c r="I107"/>
  <c r="C107"/>
  <c r="K108"/>
  <c r="N109"/>
  <c r="Q107"/>
  <c r="M108"/>
  <c r="T109"/>
  <c r="O109"/>
  <c r="P109"/>
  <c r="J107" l="1"/>
  <c r="I106"/>
  <c r="C106"/>
  <c r="N108"/>
  <c r="M106"/>
  <c r="T108"/>
  <c r="P108"/>
  <c r="Q106"/>
  <c r="M107"/>
  <c r="K107"/>
  <c r="O108"/>
  <c r="J106" l="1"/>
  <c r="I105"/>
  <c r="C105"/>
  <c r="N107"/>
  <c r="Q105"/>
  <c r="T107"/>
  <c r="K106"/>
  <c r="P107"/>
  <c r="O107"/>
  <c r="J105" l="1"/>
  <c r="I104"/>
  <c r="C104"/>
  <c r="N106"/>
  <c r="M105"/>
  <c r="O106"/>
  <c r="Q104"/>
  <c r="K105"/>
  <c r="T106"/>
  <c r="P106"/>
  <c r="O105"/>
  <c r="P105"/>
  <c r="J104" l="1"/>
  <c r="I103"/>
  <c r="C103"/>
  <c r="N105"/>
  <c r="K104"/>
  <c r="M103"/>
  <c r="Q103"/>
  <c r="T105"/>
  <c r="M104"/>
  <c r="J103" l="1"/>
  <c r="I102"/>
  <c r="C102"/>
  <c r="P104"/>
  <c r="T104"/>
  <c r="Q102"/>
  <c r="N104"/>
  <c r="K103"/>
  <c r="O104"/>
  <c r="J102" l="1"/>
  <c r="I101"/>
  <c r="C101"/>
  <c r="Q101"/>
  <c r="M102"/>
  <c r="P103"/>
  <c r="O103"/>
  <c r="K102"/>
  <c r="N103"/>
  <c r="T103"/>
  <c r="J101" l="1"/>
  <c r="I100"/>
  <c r="C100"/>
  <c r="P102"/>
  <c r="M101"/>
  <c r="Q100"/>
  <c r="O102"/>
  <c r="T102"/>
  <c r="K101"/>
  <c r="N102"/>
  <c r="J100" l="1"/>
  <c r="I99"/>
  <c r="C99"/>
  <c r="T101"/>
  <c r="K100"/>
  <c r="M100"/>
  <c r="N101"/>
  <c r="Q99"/>
  <c r="P101"/>
  <c r="O101"/>
  <c r="J99" l="1"/>
  <c r="I98"/>
  <c r="C98"/>
  <c r="K99"/>
  <c r="P100"/>
  <c r="P99"/>
  <c r="N100"/>
  <c r="O99"/>
  <c r="M99"/>
  <c r="Q98"/>
  <c r="O100"/>
  <c r="T100"/>
  <c r="J98" l="1"/>
  <c r="I97"/>
  <c r="C97"/>
  <c r="M97"/>
  <c r="T99"/>
  <c r="M98"/>
  <c r="K98"/>
  <c r="N99"/>
  <c r="Q97"/>
  <c r="J97" l="1"/>
  <c r="I96"/>
  <c r="C96"/>
  <c r="O98"/>
  <c r="T98"/>
  <c r="P98"/>
  <c r="N98"/>
  <c r="Q96"/>
  <c r="K97"/>
  <c r="J96" l="1"/>
  <c r="I95"/>
  <c r="C95"/>
  <c r="O97"/>
  <c r="T97"/>
  <c r="P97"/>
  <c r="M96"/>
  <c r="N97"/>
  <c r="K96"/>
  <c r="Q95"/>
  <c r="J95" l="1"/>
  <c r="I94"/>
  <c r="C94"/>
  <c r="O96"/>
  <c r="M95"/>
  <c r="P96"/>
  <c r="T96"/>
  <c r="K95"/>
  <c r="P95" s="1"/>
  <c r="O95"/>
  <c r="N96"/>
  <c r="M94"/>
  <c r="Q94"/>
  <c r="J94" l="1"/>
  <c r="I93"/>
  <c r="C93"/>
  <c r="K94"/>
  <c r="T95"/>
  <c r="Q93"/>
  <c r="N95"/>
  <c r="J93" l="1"/>
  <c r="I92"/>
  <c r="C92"/>
  <c r="N94"/>
  <c r="O94"/>
  <c r="T94"/>
  <c r="M93"/>
  <c r="Q92"/>
  <c r="K93"/>
  <c r="P94"/>
  <c r="J92" l="1"/>
  <c r="I91"/>
  <c r="C91"/>
  <c r="O93"/>
  <c r="P93"/>
  <c r="T93"/>
  <c r="N93"/>
  <c r="M92"/>
  <c r="Q91"/>
  <c r="K92"/>
  <c r="J91" l="1"/>
  <c r="I90"/>
  <c r="C90"/>
  <c r="Q90"/>
  <c r="M91"/>
  <c r="N92"/>
  <c r="O92"/>
  <c r="P92"/>
  <c r="T92"/>
  <c r="K91"/>
  <c r="J90" l="1"/>
  <c r="I89"/>
  <c r="C89"/>
  <c r="T91"/>
  <c r="Q89"/>
  <c r="N91"/>
  <c r="O91"/>
  <c r="P91"/>
  <c r="M90"/>
  <c r="K90"/>
  <c r="J89" l="1"/>
  <c r="I88"/>
  <c r="C88"/>
  <c r="I55"/>
  <c r="C55"/>
  <c r="O90"/>
  <c r="M89"/>
  <c r="K89"/>
  <c r="N90"/>
  <c r="T90"/>
  <c r="P90"/>
  <c r="Q88"/>
  <c r="J88" l="1"/>
  <c r="J55"/>
  <c r="I54"/>
  <c r="J54" s="1"/>
  <c r="C54"/>
  <c r="K88"/>
  <c r="T89"/>
  <c r="K54"/>
  <c r="K55"/>
  <c r="P89"/>
  <c r="O89"/>
  <c r="M88"/>
  <c r="N89"/>
  <c r="P54"/>
  <c r="I53" l="1"/>
  <c r="J53" s="1"/>
  <c r="C53"/>
  <c r="T88"/>
  <c r="P88"/>
  <c r="L55"/>
  <c r="Q55" s="1"/>
  <c r="O55"/>
  <c r="O54"/>
  <c r="P55"/>
  <c r="K53"/>
  <c r="O88"/>
  <c r="L54"/>
  <c r="Q54" s="1"/>
  <c r="N88"/>
  <c r="I52" l="1"/>
  <c r="J52" s="1"/>
  <c r="C52"/>
  <c r="M55"/>
  <c r="M54"/>
  <c r="L53"/>
  <c r="T54"/>
  <c r="O53"/>
  <c r="K52"/>
  <c r="P53"/>
  <c r="N54"/>
  <c r="T55"/>
  <c r="N55"/>
  <c r="I51" l="1"/>
  <c r="J51" s="1"/>
  <c r="C51"/>
  <c r="I50"/>
  <c r="C50"/>
  <c r="Q53"/>
  <c r="O52"/>
  <c r="P52"/>
  <c r="N53"/>
  <c r="L52"/>
  <c r="M53"/>
  <c r="K51"/>
  <c r="L51" s="1"/>
  <c r="J50" l="1"/>
  <c r="I49"/>
  <c r="J49" s="1"/>
  <c r="C49"/>
  <c r="Q51"/>
  <c r="M51"/>
  <c r="O51"/>
  <c r="K50"/>
  <c r="Q52"/>
  <c r="N52"/>
  <c r="T53"/>
  <c r="N51"/>
  <c r="M52"/>
  <c r="T52" s="1"/>
  <c r="P51"/>
  <c r="I48" l="1"/>
  <c r="J48" s="1"/>
  <c r="C48"/>
  <c r="O50"/>
  <c r="K49"/>
  <c r="O49"/>
  <c r="K48"/>
  <c r="T51"/>
  <c r="L50"/>
  <c r="Q50" s="1"/>
  <c r="P50"/>
  <c r="M50"/>
  <c r="I47" l="1"/>
  <c r="C47"/>
  <c r="I46"/>
  <c r="J46" s="1"/>
  <c r="C46"/>
  <c r="I45"/>
  <c r="J45" s="1"/>
  <c r="C45"/>
  <c r="L49"/>
  <c r="M49"/>
  <c r="N49"/>
  <c r="N50"/>
  <c r="O48"/>
  <c r="P49"/>
  <c r="L48"/>
  <c r="P48"/>
  <c r="T50"/>
  <c r="K45"/>
  <c r="Q49"/>
  <c r="J47" l="1"/>
  <c r="L45"/>
  <c r="I44"/>
  <c r="J44" s="1"/>
  <c r="C44"/>
  <c r="K47"/>
  <c r="P45"/>
  <c r="N45"/>
  <c r="T49"/>
  <c r="Q48"/>
  <c r="N48"/>
  <c r="K46"/>
  <c r="Q45"/>
  <c r="M48"/>
  <c r="O45"/>
  <c r="M45"/>
  <c r="I43" l="1"/>
  <c r="C43"/>
  <c r="O47"/>
  <c r="T45"/>
  <c r="Q43"/>
  <c r="L46"/>
  <c r="N46" s="1"/>
  <c r="K44"/>
  <c r="P47"/>
  <c r="Q46"/>
  <c r="M46"/>
  <c r="L47"/>
  <c r="O46"/>
  <c r="P46"/>
  <c r="T48"/>
  <c r="M47"/>
  <c r="N47"/>
  <c r="Q47"/>
  <c r="J43" l="1"/>
  <c r="L44"/>
  <c r="I42"/>
  <c r="C42"/>
  <c r="T47"/>
  <c r="N44"/>
  <c r="M43"/>
  <c r="O44"/>
  <c r="P44"/>
  <c r="M44"/>
  <c r="K43"/>
  <c r="Q42"/>
  <c r="T46"/>
  <c r="Q44"/>
  <c r="M42"/>
  <c r="J42" l="1"/>
  <c r="I41"/>
  <c r="J41" s="1"/>
  <c r="C41"/>
  <c r="K42"/>
  <c r="N43"/>
  <c r="O43"/>
  <c r="T44"/>
  <c r="K41"/>
  <c r="P43"/>
  <c r="L41" l="1"/>
  <c r="P42"/>
  <c r="N41"/>
  <c r="O41"/>
  <c r="O42"/>
  <c r="M41"/>
  <c r="P41"/>
  <c r="Q41"/>
  <c r="T43"/>
  <c r="N42"/>
  <c r="I40" l="1"/>
  <c r="C40"/>
  <c r="T41"/>
  <c r="T42"/>
  <c r="J40" l="1"/>
  <c r="I38"/>
  <c r="J38" s="1"/>
  <c r="C38"/>
  <c r="K38"/>
  <c r="L38" l="1"/>
  <c r="I39"/>
  <c r="J39" s="1"/>
  <c r="C39"/>
  <c r="O38"/>
  <c r="P38"/>
  <c r="M38"/>
  <c r="K40"/>
  <c r="Q38"/>
  <c r="N38"/>
  <c r="L40" l="1"/>
  <c r="K39"/>
  <c r="T38"/>
  <c r="O40"/>
  <c r="Q40"/>
  <c r="P40"/>
  <c r="M40"/>
  <c r="N40"/>
  <c r="L39" l="1"/>
  <c r="C56"/>
  <c r="I56"/>
  <c r="C57"/>
  <c r="I57"/>
  <c r="C58"/>
  <c r="I58"/>
  <c r="C59"/>
  <c r="I59"/>
  <c r="C60"/>
  <c r="I60"/>
  <c r="C61"/>
  <c r="I61"/>
  <c r="C62"/>
  <c r="I62"/>
  <c r="C63"/>
  <c r="I63"/>
  <c r="C64"/>
  <c r="I64"/>
  <c r="C65"/>
  <c r="I65"/>
  <c r="C66"/>
  <c r="I66"/>
  <c r="C67"/>
  <c r="I67"/>
  <c r="C68"/>
  <c r="I68"/>
  <c r="C69"/>
  <c r="I69"/>
  <c r="C70"/>
  <c r="I70"/>
  <c r="C71"/>
  <c r="I71"/>
  <c r="C72"/>
  <c r="I72"/>
  <c r="C73"/>
  <c r="I73"/>
  <c r="C74"/>
  <c r="I74"/>
  <c r="C75"/>
  <c r="I75"/>
  <c r="C76"/>
  <c r="I76"/>
  <c r="C77"/>
  <c r="I77"/>
  <c r="C78"/>
  <c r="I78"/>
  <c r="C79"/>
  <c r="I79"/>
  <c r="C80"/>
  <c r="I80"/>
  <c r="C81"/>
  <c r="I81"/>
  <c r="C82"/>
  <c r="I82"/>
  <c r="C83"/>
  <c r="I83"/>
  <c r="C84"/>
  <c r="I84"/>
  <c r="C85"/>
  <c r="I85"/>
  <c r="C86"/>
  <c r="I86"/>
  <c r="C87"/>
  <c r="I87"/>
  <c r="C124"/>
  <c r="I124"/>
  <c r="J124" s="1"/>
  <c r="C125"/>
  <c r="I125"/>
  <c r="J125" s="1"/>
  <c r="Q65"/>
  <c r="Q59"/>
  <c r="Q81"/>
  <c r="Q72"/>
  <c r="Q86"/>
  <c r="Q60"/>
  <c r="Q82"/>
  <c r="M72"/>
  <c r="Q87"/>
  <c r="Q69"/>
  <c r="Q66"/>
  <c r="Q77"/>
  <c r="Q64"/>
  <c r="M57"/>
  <c r="Q68"/>
  <c r="M69"/>
  <c r="Q58"/>
  <c r="Q73"/>
  <c r="K125"/>
  <c r="Q83"/>
  <c r="Q85"/>
  <c r="M68"/>
  <c r="M85"/>
  <c r="M73"/>
  <c r="Q63"/>
  <c r="Q80"/>
  <c r="M65"/>
  <c r="K124"/>
  <c r="Q74"/>
  <c r="Q61"/>
  <c r="Q75"/>
  <c r="Q79"/>
  <c r="Q62"/>
  <c r="Q84"/>
  <c r="O39"/>
  <c r="Q57"/>
  <c r="Q70"/>
  <c r="N39"/>
  <c r="Q78"/>
  <c r="M77"/>
  <c r="T40"/>
  <c r="Q56"/>
  <c r="P39"/>
  <c r="M81"/>
  <c r="M61"/>
  <c r="M39"/>
  <c r="Q76"/>
  <c r="Q67"/>
  <c r="Q39"/>
  <c r="Q71"/>
  <c r="M84"/>
  <c r="J86" l="1"/>
  <c r="J84"/>
  <c r="J82"/>
  <c r="J80"/>
  <c r="J78"/>
  <c r="J74"/>
  <c r="J72"/>
  <c r="J68"/>
  <c r="J66"/>
  <c r="J64"/>
  <c r="J62"/>
  <c r="J60"/>
  <c r="J58"/>
  <c r="J56"/>
  <c r="J87"/>
  <c r="J85"/>
  <c r="J83"/>
  <c r="J81"/>
  <c r="J79"/>
  <c r="J77"/>
  <c r="J75"/>
  <c r="J73"/>
  <c r="J71"/>
  <c r="J69"/>
  <c r="J67"/>
  <c r="J65"/>
  <c r="J63"/>
  <c r="J61"/>
  <c r="J59"/>
  <c r="J57"/>
  <c r="J70"/>
  <c r="J76"/>
  <c r="I37"/>
  <c r="C37"/>
  <c r="M66"/>
  <c r="M78"/>
  <c r="T39"/>
  <c r="K86"/>
  <c r="T57"/>
  <c r="K82"/>
  <c r="K79"/>
  <c r="T77"/>
  <c r="T81"/>
  <c r="K72"/>
  <c r="M58"/>
  <c r="M86"/>
  <c r="P125"/>
  <c r="T69"/>
  <c r="K63"/>
  <c r="K61"/>
  <c r="T72"/>
  <c r="M70"/>
  <c r="M87"/>
  <c r="K64"/>
  <c r="K75"/>
  <c r="M79"/>
  <c r="K81"/>
  <c r="K60"/>
  <c r="L124"/>
  <c r="K70"/>
  <c r="K85"/>
  <c r="O125"/>
  <c r="M75"/>
  <c r="M62"/>
  <c r="K68"/>
  <c r="M76"/>
  <c r="K62"/>
  <c r="P124"/>
  <c r="M63"/>
  <c r="K87"/>
  <c r="K67"/>
  <c r="M80"/>
  <c r="M60"/>
  <c r="K83"/>
  <c r="K74"/>
  <c r="K84"/>
  <c r="K56"/>
  <c r="M64"/>
  <c r="O79"/>
  <c r="L125"/>
  <c r="K59"/>
  <c r="M56"/>
  <c r="T65"/>
  <c r="K65"/>
  <c r="N79"/>
  <c r="O124"/>
  <c r="K77"/>
  <c r="M82"/>
  <c r="K71"/>
  <c r="T61"/>
  <c r="K57"/>
  <c r="T85"/>
  <c r="K73"/>
  <c r="N73" s="1"/>
  <c r="T84"/>
  <c r="T68"/>
  <c r="K76"/>
  <c r="M74"/>
  <c r="P85"/>
  <c r="K78"/>
  <c r="K66"/>
  <c r="M71"/>
  <c r="P56"/>
  <c r="M125"/>
  <c r="K58"/>
  <c r="M67"/>
  <c r="K80"/>
  <c r="K69"/>
  <c r="O76"/>
  <c r="M59"/>
  <c r="T73"/>
  <c r="M83"/>
  <c r="N75"/>
  <c r="O74"/>
  <c r="O71"/>
  <c r="P71"/>
  <c r="N78"/>
  <c r="J37" l="1"/>
  <c r="I33"/>
  <c r="J33" s="1"/>
  <c r="C33"/>
  <c r="N82"/>
  <c r="N74"/>
  <c r="O67"/>
  <c r="O84"/>
  <c r="N56"/>
  <c r="T67"/>
  <c r="T70"/>
  <c r="P58"/>
  <c r="O68"/>
  <c r="O86"/>
  <c r="P72"/>
  <c r="P83"/>
  <c r="O82"/>
  <c r="P74"/>
  <c r="Q124"/>
  <c r="N69"/>
  <c r="T79"/>
  <c r="T59"/>
  <c r="N81"/>
  <c r="N71"/>
  <c r="P63"/>
  <c r="T75"/>
  <c r="T86"/>
  <c r="N85"/>
  <c r="T76"/>
  <c r="P70"/>
  <c r="N87"/>
  <c r="O64"/>
  <c r="P57"/>
  <c r="M124"/>
  <c r="P79"/>
  <c r="Q125"/>
  <c r="O60"/>
  <c r="N72"/>
  <c r="T62"/>
  <c r="P75"/>
  <c r="T58"/>
  <c r="P78"/>
  <c r="P60"/>
  <c r="N64"/>
  <c r="N68"/>
  <c r="N76"/>
  <c r="N66"/>
  <c r="O72"/>
  <c r="P76"/>
  <c r="O78"/>
  <c r="P80"/>
  <c r="P86"/>
  <c r="O80"/>
  <c r="O65"/>
  <c r="T78"/>
  <c r="P67"/>
  <c r="T87"/>
  <c r="N80"/>
  <c r="T71"/>
  <c r="O70"/>
  <c r="O83"/>
  <c r="O87"/>
  <c r="P81"/>
  <c r="N65"/>
  <c r="N62"/>
  <c r="O77"/>
  <c r="N63"/>
  <c r="P69"/>
  <c r="O66"/>
  <c r="T82"/>
  <c r="P73"/>
  <c r="T125"/>
  <c r="N77"/>
  <c r="N86"/>
  <c r="N70"/>
  <c r="N59"/>
  <c r="P77"/>
  <c r="T74"/>
  <c r="P68"/>
  <c r="P66"/>
  <c r="N57"/>
  <c r="T63"/>
  <c r="P82"/>
  <c r="O58"/>
  <c r="T83"/>
  <c r="N61"/>
  <c r="P61"/>
  <c r="N60"/>
  <c r="N67"/>
  <c r="P65"/>
  <c r="N58"/>
  <c r="O69"/>
  <c r="P87"/>
  <c r="T64"/>
  <c r="N84"/>
  <c r="T56"/>
  <c r="O59"/>
  <c r="O85"/>
  <c r="O61"/>
  <c r="O73"/>
  <c r="T80"/>
  <c r="O57"/>
  <c r="O56"/>
  <c r="P62"/>
  <c r="O63"/>
  <c r="P84"/>
  <c r="P64"/>
  <c r="O75"/>
  <c r="O62"/>
  <c r="T66"/>
  <c r="N83"/>
  <c r="O81"/>
  <c r="P59"/>
  <c r="T60"/>
  <c r="I31" l="1"/>
  <c r="J31" s="1"/>
  <c r="C31"/>
  <c r="T124"/>
  <c r="K37"/>
  <c r="K33"/>
  <c r="I35" l="1"/>
  <c r="J35" s="1"/>
  <c r="C35"/>
  <c r="K31"/>
  <c r="P37"/>
  <c r="L37"/>
  <c r="N37" s="1"/>
  <c r="L33"/>
  <c r="O33"/>
  <c r="P33"/>
  <c r="O37"/>
  <c r="I36" l="1"/>
  <c r="C36"/>
  <c r="M37"/>
  <c r="P31"/>
  <c r="M33"/>
  <c r="Q33"/>
  <c r="Q37"/>
  <c r="L31"/>
  <c r="N33"/>
  <c r="K35"/>
  <c r="O31"/>
  <c r="T33"/>
  <c r="J36" l="1"/>
  <c r="I34"/>
  <c r="J34" s="1"/>
  <c r="C34"/>
  <c r="M31"/>
  <c r="O35"/>
  <c r="N31"/>
  <c r="T37"/>
  <c r="Q31"/>
  <c r="P35"/>
  <c r="L35"/>
  <c r="Q35"/>
  <c r="N35"/>
  <c r="M35"/>
  <c r="I32" l="1"/>
  <c r="J32" s="1"/>
  <c r="C32"/>
  <c r="T31"/>
  <c r="K36"/>
  <c r="T35"/>
  <c r="K34"/>
  <c r="L36"/>
  <c r="I30" l="1"/>
  <c r="J30" s="1"/>
  <c r="C30"/>
  <c r="I29"/>
  <c r="C29"/>
  <c r="P34"/>
  <c r="M36"/>
  <c r="O34"/>
  <c r="L34"/>
  <c r="O36"/>
  <c r="T36"/>
  <c r="P36"/>
  <c r="K32"/>
  <c r="Q36"/>
  <c r="N36"/>
  <c r="N34"/>
  <c r="M34"/>
  <c r="Q34"/>
  <c r="J29" l="1"/>
  <c r="I28"/>
  <c r="J28" s="1"/>
  <c r="C28"/>
  <c r="L32"/>
  <c r="P32"/>
  <c r="K30"/>
  <c r="O32"/>
  <c r="T34"/>
  <c r="I27" l="1"/>
  <c r="J27" s="1"/>
  <c r="C27"/>
  <c r="Q32"/>
  <c r="K29"/>
  <c r="L30"/>
  <c r="P30"/>
  <c r="K28"/>
  <c r="M32"/>
  <c r="N32"/>
  <c r="O30"/>
  <c r="M30"/>
  <c r="I26" l="1"/>
  <c r="J26" s="1"/>
  <c r="C26"/>
  <c r="I25"/>
  <c r="J25" s="1"/>
  <c r="C25"/>
  <c r="K132"/>
  <c r="K134"/>
  <c r="K133"/>
  <c r="K135"/>
  <c r="P29"/>
  <c r="L28"/>
  <c r="O29"/>
  <c r="K27"/>
  <c r="T30"/>
  <c r="O28"/>
  <c r="T32"/>
  <c r="N30"/>
  <c r="L29"/>
  <c r="Q30"/>
  <c r="P28"/>
  <c r="M28"/>
  <c r="K120" l="1"/>
  <c r="K121"/>
  <c r="K122"/>
  <c r="K123"/>
  <c r="I24"/>
  <c r="J24" s="1"/>
  <c r="C24"/>
  <c r="O123"/>
  <c r="L133"/>
  <c r="O120"/>
  <c r="O132"/>
  <c r="L120"/>
  <c r="L121"/>
  <c r="L122"/>
  <c r="L123"/>
  <c r="O135"/>
  <c r="L132"/>
  <c r="O121"/>
  <c r="L134"/>
  <c r="O122"/>
  <c r="N133"/>
  <c r="L135"/>
  <c r="O133"/>
  <c r="O134"/>
  <c r="Q122"/>
  <c r="M29"/>
  <c r="T28"/>
  <c r="P120"/>
  <c r="Q132"/>
  <c r="K26"/>
  <c r="K25"/>
  <c r="P25"/>
  <c r="Q121"/>
  <c r="P132"/>
  <c r="Q28"/>
  <c r="N29"/>
  <c r="M133"/>
  <c r="Q123"/>
  <c r="M120"/>
  <c r="O25"/>
  <c r="M132"/>
  <c r="N28"/>
  <c r="P27"/>
  <c r="P122"/>
  <c r="M135"/>
  <c r="M134"/>
  <c r="P135"/>
  <c r="P121"/>
  <c r="M123"/>
  <c r="O27"/>
  <c r="P133"/>
  <c r="Q133"/>
  <c r="P134"/>
  <c r="Q29"/>
  <c r="P123"/>
  <c r="Q120"/>
  <c r="Q135"/>
  <c r="L27"/>
  <c r="M27"/>
  <c r="N27"/>
  <c r="I23" l="1"/>
  <c r="J23" s="1"/>
  <c r="C23"/>
  <c r="N121"/>
  <c r="N134"/>
  <c r="N132"/>
  <c r="N122"/>
  <c r="N135"/>
  <c r="N120"/>
  <c r="N123"/>
  <c r="L26"/>
  <c r="T132"/>
  <c r="K24"/>
  <c r="T27"/>
  <c r="L25"/>
  <c r="O26"/>
  <c r="Q25"/>
  <c r="P26"/>
  <c r="M121"/>
  <c r="T134"/>
  <c r="T120"/>
  <c r="T123"/>
  <c r="Q27"/>
  <c r="T133"/>
  <c r="T135"/>
  <c r="Q134"/>
  <c r="M122"/>
  <c r="T29"/>
  <c r="I22" l="1"/>
  <c r="J22" s="1"/>
  <c r="C22"/>
  <c r="I17"/>
  <c r="C17"/>
  <c r="N25"/>
  <c r="N26"/>
  <c r="L24"/>
  <c r="M25"/>
  <c r="T25" s="1"/>
  <c r="P24"/>
  <c r="Q26"/>
  <c r="T122"/>
  <c r="M26"/>
  <c r="O24"/>
  <c r="Q24"/>
  <c r="N24"/>
  <c r="M24"/>
  <c r="K23"/>
  <c r="T121"/>
  <c r="J17" l="1"/>
  <c r="I16"/>
  <c r="C16"/>
  <c r="K17"/>
  <c r="T26"/>
  <c r="L23"/>
  <c r="K22"/>
  <c r="T24"/>
  <c r="P23"/>
  <c r="O23"/>
  <c r="J16" l="1"/>
  <c r="I15"/>
  <c r="J15" s="1"/>
  <c r="C15"/>
  <c r="N23"/>
  <c r="M23"/>
  <c r="P17"/>
  <c r="K16"/>
  <c r="O22"/>
  <c r="Q23"/>
  <c r="O17"/>
  <c r="L17"/>
  <c r="P22"/>
  <c r="L22"/>
  <c r="I14" l="1"/>
  <c r="J14" s="1"/>
  <c r="C14"/>
  <c r="Q22"/>
  <c r="T23"/>
  <c r="P16"/>
  <c r="N22"/>
  <c r="M17"/>
  <c r="K15"/>
  <c r="Q17"/>
  <c r="M22"/>
  <c r="L16"/>
  <c r="N16"/>
  <c r="O16"/>
  <c r="N17"/>
  <c r="I13" l="1"/>
  <c r="C13"/>
  <c r="L15"/>
  <c r="Q16"/>
  <c r="P15"/>
  <c r="T17"/>
  <c r="K14"/>
  <c r="M16"/>
  <c r="O15"/>
  <c r="T22"/>
  <c r="Q15"/>
  <c r="J13" l="1"/>
  <c r="I12"/>
  <c r="C12"/>
  <c r="N15"/>
  <c r="T16"/>
  <c r="K13"/>
  <c r="P13"/>
  <c r="P14"/>
  <c r="M15"/>
  <c r="L14"/>
  <c r="T15"/>
  <c r="O14"/>
  <c r="L13"/>
  <c r="O13"/>
  <c r="J12" l="1"/>
  <c r="M14"/>
  <c r="Q13"/>
  <c r="K12"/>
  <c r="N14"/>
  <c r="Q14"/>
  <c r="N13"/>
  <c r="M13"/>
  <c r="I11" l="1"/>
  <c r="C11"/>
  <c r="O12"/>
  <c r="T14"/>
  <c r="L12"/>
  <c r="P12"/>
  <c r="T13"/>
  <c r="M12"/>
  <c r="Q12"/>
  <c r="J11" l="1"/>
  <c r="V22" i="4"/>
  <c r="P22"/>
  <c r="S22"/>
  <c r="M22"/>
  <c r="M2"/>
  <c r="P18" s="1"/>
  <c r="P34"/>
  <c r="P35"/>
  <c r="P32"/>
  <c r="M17"/>
  <c r="P25"/>
  <c r="P37"/>
  <c r="P36"/>
  <c r="P33"/>
  <c r="P17"/>
  <c r="P31"/>
  <c r="P38"/>
  <c r="P28"/>
  <c r="P27"/>
  <c r="P26"/>
  <c r="P30"/>
  <c r="S17"/>
  <c r="P29"/>
  <c r="V17"/>
  <c r="P39"/>
  <c r="T12" i="1"/>
  <c r="K11"/>
  <c r="N12"/>
  <c r="M18" i="4" l="1"/>
  <c r="I10" i="1"/>
  <c r="C10"/>
  <c r="M33" i="4"/>
  <c r="V20"/>
  <c r="S20"/>
  <c r="S18"/>
  <c r="S29"/>
  <c r="M27"/>
  <c r="M38"/>
  <c r="M26"/>
  <c r="S30"/>
  <c r="S25"/>
  <c r="M41"/>
  <c r="M25"/>
  <c r="M36"/>
  <c r="P19"/>
  <c r="S26"/>
  <c r="M34"/>
  <c r="S37"/>
  <c r="M29"/>
  <c r="M20"/>
  <c r="S34"/>
  <c r="S28"/>
  <c r="M32"/>
  <c r="M40"/>
  <c r="M19"/>
  <c r="M31"/>
  <c r="S39"/>
  <c r="V18"/>
  <c r="V35"/>
  <c r="V26"/>
  <c r="V37"/>
  <c r="S33"/>
  <c r="P20"/>
  <c r="S27"/>
  <c r="S31"/>
  <c r="V36"/>
  <c r="M30"/>
  <c r="M35"/>
  <c r="M39"/>
  <c r="M28"/>
  <c r="S38"/>
  <c r="S36"/>
  <c r="V29"/>
  <c r="M37"/>
  <c r="V33"/>
  <c r="V19"/>
  <c r="S19"/>
  <c r="S35"/>
  <c r="S32"/>
  <c r="V34"/>
  <c r="V25"/>
  <c r="V39"/>
  <c r="V27"/>
  <c r="V32"/>
  <c r="V28"/>
  <c r="V30"/>
  <c r="V38"/>
  <c r="V31"/>
  <c r="O11" i="1"/>
  <c r="R27"/>
  <c r="P11"/>
  <c r="R121"/>
  <c r="L11"/>
  <c r="Q11" s="1"/>
  <c r="U121" l="1"/>
  <c r="U27"/>
  <c r="J10"/>
  <c r="R26" i="4"/>
  <c r="O39"/>
  <c r="R25"/>
  <c r="R39"/>
  <c r="U25"/>
  <c r="O41"/>
  <c r="O33"/>
  <c r="R32"/>
  <c r="R34"/>
  <c r="R28"/>
  <c r="O38"/>
  <c r="O25"/>
  <c r="R38"/>
  <c r="O26"/>
  <c r="R35"/>
  <c r="O30"/>
  <c r="X25"/>
  <c r="O34"/>
  <c r="R33"/>
  <c r="R31"/>
  <c r="O27"/>
  <c r="O32"/>
  <c r="R30"/>
  <c r="O29"/>
  <c r="R29"/>
  <c r="R36"/>
  <c r="O40"/>
  <c r="O28"/>
  <c r="R27"/>
  <c r="O31"/>
  <c r="O37"/>
  <c r="O35"/>
  <c r="O36"/>
  <c r="R37"/>
  <c r="X26"/>
  <c r="R123" i="1"/>
  <c r="H127"/>
  <c r="H126"/>
  <c r="H130"/>
  <c r="R12"/>
  <c r="R122"/>
  <c r="N11"/>
  <c r="R30"/>
  <c r="R23"/>
  <c r="H131"/>
  <c r="R120"/>
  <c r="K10"/>
  <c r="O10" s="1"/>
  <c r="R32"/>
  <c r="R126"/>
  <c r="R31"/>
  <c r="R130"/>
  <c r="R131"/>
  <c r="M11"/>
  <c r="R127"/>
  <c r="R26"/>
  <c r="R137"/>
  <c r="R13"/>
  <c r="U122" l="1"/>
  <c r="W121"/>
  <c r="Y121" s="1"/>
  <c r="W27"/>
  <c r="Y27" s="1"/>
  <c r="U32"/>
  <c r="U23"/>
  <c r="U12"/>
  <c r="U13"/>
  <c r="U137"/>
  <c r="U30"/>
  <c r="U31"/>
  <c r="U26"/>
  <c r="U120"/>
  <c r="U26" i="4"/>
  <c r="R18" i="1"/>
  <c r="R11"/>
  <c r="R33"/>
  <c r="N126"/>
  <c r="T11"/>
  <c r="R133"/>
  <c r="N131"/>
  <c r="R19"/>
  <c r="N130"/>
  <c r="P10"/>
  <c r="N127"/>
  <c r="L10"/>
  <c r="R132"/>
  <c r="N10"/>
  <c r="R22"/>
  <c r="R136"/>
  <c r="M10"/>
  <c r="R10"/>
  <c r="Q10"/>
  <c r="W122" l="1"/>
  <c r="Y122" s="1"/>
  <c r="U19"/>
  <c r="U18"/>
  <c r="U11"/>
  <c r="U133"/>
  <c r="U33"/>
  <c r="U132"/>
  <c r="U136"/>
  <c r="U22"/>
  <c r="W137"/>
  <c r="Y137" s="1"/>
  <c r="W31"/>
  <c r="Y31" s="1"/>
  <c r="W23"/>
  <c r="Y23" s="1"/>
  <c r="W26"/>
  <c r="Y26" s="1"/>
  <c r="W12"/>
  <c r="W120"/>
  <c r="Y120" s="1"/>
  <c r="W30"/>
  <c r="Y30" s="1"/>
  <c r="W18"/>
  <c r="Y18" s="1"/>
  <c r="W13"/>
  <c r="W32"/>
  <c r="Y32" s="1"/>
  <c r="U130"/>
  <c r="U131"/>
  <c r="U126"/>
  <c r="U127"/>
  <c r="T10"/>
  <c r="U10" l="1"/>
  <c r="W10" s="1"/>
  <c r="Y10" s="1"/>
  <c r="W132"/>
  <c r="Y132" s="1"/>
  <c r="W127"/>
  <c r="Y127" s="1"/>
  <c r="W136"/>
  <c r="Y136" s="1"/>
  <c r="W11"/>
  <c r="W22"/>
  <c r="Y22" s="1"/>
  <c r="W133"/>
  <c r="Y133" s="1"/>
  <c r="W33"/>
  <c r="Y33" s="1"/>
  <c r="W19"/>
  <c r="Y19" s="1"/>
  <c r="Y13"/>
  <c r="Y12"/>
  <c r="Y11"/>
  <c r="W130"/>
  <c r="Y130" s="1"/>
  <c r="W131"/>
  <c r="Y131" s="1"/>
  <c r="W126"/>
  <c r="Y126" s="1"/>
  <c r="U123" l="1"/>
  <c r="R50"/>
  <c r="R75"/>
  <c r="R87"/>
  <c r="R74"/>
  <c r="R70"/>
  <c r="R55"/>
  <c r="R61"/>
  <c r="R67"/>
  <c r="R64"/>
  <c r="R58"/>
  <c r="R65"/>
  <c r="R71"/>
  <c r="R80"/>
  <c r="R84"/>
  <c r="R54"/>
  <c r="R72"/>
  <c r="R66"/>
  <c r="R79"/>
  <c r="R69"/>
  <c r="R57"/>
  <c r="R81"/>
  <c r="R59"/>
  <c r="R85"/>
  <c r="R73"/>
  <c r="R60"/>
  <c r="R76"/>
  <c r="R77"/>
  <c r="R62"/>
  <c r="R63"/>
  <c r="R78"/>
  <c r="R82"/>
  <c r="R86"/>
  <c r="R83"/>
  <c r="R56"/>
  <c r="R68"/>
  <c r="W123" l="1"/>
  <c r="Y123" s="1"/>
  <c r="U50"/>
  <c r="U55"/>
  <c r="U54"/>
  <c r="U72"/>
  <c r="U64"/>
  <c r="U65"/>
  <c r="U60"/>
  <c r="U75"/>
  <c r="U62"/>
  <c r="U79"/>
  <c r="U57"/>
  <c r="U82"/>
  <c r="U67"/>
  <c r="U76"/>
  <c r="U59"/>
  <c r="U78"/>
  <c r="U66"/>
  <c r="U77"/>
  <c r="U86"/>
  <c r="U71"/>
  <c r="U74"/>
  <c r="U73"/>
  <c r="U68"/>
  <c r="U61"/>
  <c r="U81"/>
  <c r="U58"/>
  <c r="U85"/>
  <c r="U69"/>
  <c r="U63"/>
  <c r="U56"/>
  <c r="U70"/>
  <c r="U80"/>
  <c r="U87"/>
  <c r="U84"/>
  <c r="U83"/>
  <c r="R125"/>
  <c r="R47"/>
  <c r="R49"/>
  <c r="R48"/>
  <c r="R46"/>
  <c r="R53"/>
  <c r="R52"/>
  <c r="R51"/>
  <c r="U46" l="1"/>
  <c r="U47"/>
  <c r="U48"/>
  <c r="U49"/>
  <c r="U53"/>
  <c r="U52"/>
  <c r="W83"/>
  <c r="Y83" s="1"/>
  <c r="W70"/>
  <c r="Y70" s="1"/>
  <c r="W85"/>
  <c r="Y85" s="1"/>
  <c r="W68"/>
  <c r="Y68" s="1"/>
  <c r="W86"/>
  <c r="Y86" s="1"/>
  <c r="W59"/>
  <c r="Y59" s="1"/>
  <c r="W57"/>
  <c r="Y57" s="1"/>
  <c r="W60"/>
  <c r="Y60" s="1"/>
  <c r="W80"/>
  <c r="Y80" s="1"/>
  <c r="W69"/>
  <c r="Y69" s="1"/>
  <c r="W61"/>
  <c r="Y61" s="1"/>
  <c r="W71"/>
  <c r="Y71" s="1"/>
  <c r="W78"/>
  <c r="Y78" s="1"/>
  <c r="W82"/>
  <c r="Y82" s="1"/>
  <c r="W75"/>
  <c r="Y75" s="1"/>
  <c r="W72"/>
  <c r="Y72" s="1"/>
  <c r="W50"/>
  <c r="Y50" s="1"/>
  <c r="W87"/>
  <c r="Y87" s="1"/>
  <c r="W63"/>
  <c r="Y63" s="1"/>
  <c r="W81"/>
  <c r="Y81" s="1"/>
  <c r="W74"/>
  <c r="Y74" s="1"/>
  <c r="W66"/>
  <c r="Y66" s="1"/>
  <c r="W67"/>
  <c r="Y67" s="1"/>
  <c r="W62"/>
  <c r="Y62" s="1"/>
  <c r="W64"/>
  <c r="Y64" s="1"/>
  <c r="W55"/>
  <c r="Y55" s="1"/>
  <c r="W84"/>
  <c r="Y84" s="1"/>
  <c r="W56"/>
  <c r="Y56" s="1"/>
  <c r="W58"/>
  <c r="Y58" s="1"/>
  <c r="W73"/>
  <c r="Y73" s="1"/>
  <c r="W77"/>
  <c r="Y77" s="1"/>
  <c r="W76"/>
  <c r="Y76" s="1"/>
  <c r="W79"/>
  <c r="Y79" s="1"/>
  <c r="W65"/>
  <c r="Y65" s="1"/>
  <c r="W54"/>
  <c r="Y54" s="1"/>
  <c r="W52"/>
  <c r="Y52" s="1"/>
  <c r="U51"/>
  <c r="W47" l="1"/>
  <c r="Y47" s="1"/>
  <c r="W53"/>
  <c r="Y53" s="1"/>
  <c r="W48"/>
  <c r="Y48" s="1"/>
  <c r="W46"/>
  <c r="Y46" s="1"/>
  <c r="W49"/>
  <c r="Y49" s="1"/>
  <c r="W51"/>
  <c r="Y51" s="1"/>
  <c r="R43"/>
  <c r="U43" l="1"/>
  <c r="R135"/>
  <c r="H125"/>
  <c r="R134"/>
  <c r="W43" l="1"/>
  <c r="Y43" s="1"/>
  <c r="U135"/>
  <c r="U134"/>
  <c r="R42"/>
  <c r="N125"/>
  <c r="W135" l="1"/>
  <c r="Y135" s="1"/>
  <c r="W134"/>
  <c r="Y134" s="1"/>
  <c r="U125"/>
  <c r="U42"/>
  <c r="U27" i="4"/>
  <c r="R100" i="1"/>
  <c r="R104"/>
  <c r="R93"/>
  <c r="R109"/>
  <c r="R107"/>
  <c r="R89"/>
  <c r="R91"/>
  <c r="R101"/>
  <c r="R118"/>
  <c r="R92"/>
  <c r="R108"/>
  <c r="R45"/>
  <c r="R103"/>
  <c r="R95"/>
  <c r="R102"/>
  <c r="R96"/>
  <c r="R117"/>
  <c r="R88"/>
  <c r="R98"/>
  <c r="R39"/>
  <c r="R105"/>
  <c r="R94"/>
  <c r="R116"/>
  <c r="R111"/>
  <c r="R113"/>
  <c r="R119"/>
  <c r="R97"/>
  <c r="R99"/>
  <c r="R110"/>
  <c r="R106"/>
  <c r="R114"/>
  <c r="R90"/>
  <c r="R112"/>
  <c r="R115"/>
  <c r="W42" l="1"/>
  <c r="Y42" s="1"/>
  <c r="W125"/>
  <c r="Y125" s="1"/>
  <c r="U45"/>
  <c r="U118"/>
  <c r="U89"/>
  <c r="U105"/>
  <c r="U90"/>
  <c r="U106"/>
  <c r="U95"/>
  <c r="U119"/>
  <c r="U110"/>
  <c r="U103"/>
  <c r="U97"/>
  <c r="U96"/>
  <c r="U109"/>
  <c r="U107"/>
  <c r="U112"/>
  <c r="U115"/>
  <c r="U100"/>
  <c r="U94"/>
  <c r="U104"/>
  <c r="U99"/>
  <c r="U113"/>
  <c r="U114"/>
  <c r="U117"/>
  <c r="U116"/>
  <c r="U92"/>
  <c r="U98"/>
  <c r="U88"/>
  <c r="U102"/>
  <c r="U91"/>
  <c r="U111"/>
  <c r="U101"/>
  <c r="U108"/>
  <c r="U39"/>
  <c r="U93"/>
  <c r="X27" i="4"/>
  <c r="U28"/>
  <c r="U29"/>
  <c r="R128" i="1"/>
  <c r="R34"/>
  <c r="H128"/>
  <c r="R44"/>
  <c r="R35"/>
  <c r="R38"/>
  <c r="W108" l="1"/>
  <c r="Y108" s="1"/>
  <c r="W102"/>
  <c r="Y102" s="1"/>
  <c r="W116"/>
  <c r="Y116" s="1"/>
  <c r="W99"/>
  <c r="Y99" s="1"/>
  <c r="W115"/>
  <c r="Y115" s="1"/>
  <c r="W96"/>
  <c r="Y96" s="1"/>
  <c r="W119"/>
  <c r="Y119" s="1"/>
  <c r="W105"/>
  <c r="Y105" s="1"/>
  <c r="W39"/>
  <c r="Y39" s="1"/>
  <c r="W91"/>
  <c r="Y91" s="1"/>
  <c r="W92"/>
  <c r="Y92" s="1"/>
  <c r="W113"/>
  <c r="Y113" s="1"/>
  <c r="W100"/>
  <c r="Y100" s="1"/>
  <c r="W109"/>
  <c r="Y109" s="1"/>
  <c r="W110"/>
  <c r="Y110" s="1"/>
  <c r="W90"/>
  <c r="Y90" s="1"/>
  <c r="W45"/>
  <c r="Y45" s="1"/>
  <c r="W93"/>
  <c r="Y93" s="1"/>
  <c r="W111"/>
  <c r="Y111" s="1"/>
  <c r="W98"/>
  <c r="Y98" s="1"/>
  <c r="W114"/>
  <c r="Y114" s="1"/>
  <c r="W94"/>
  <c r="Y94" s="1"/>
  <c r="W107"/>
  <c r="Y107" s="1"/>
  <c r="W103"/>
  <c r="Y103" s="1"/>
  <c r="W106"/>
  <c r="Y106" s="1"/>
  <c r="W118"/>
  <c r="Y118" s="1"/>
  <c r="W101"/>
  <c r="Y101" s="1"/>
  <c r="W88"/>
  <c r="Y88" s="1"/>
  <c r="W117"/>
  <c r="Y117" s="1"/>
  <c r="W104"/>
  <c r="Y104" s="1"/>
  <c r="W112"/>
  <c r="Y112" s="1"/>
  <c r="W97"/>
  <c r="Y97" s="1"/>
  <c r="W95"/>
  <c r="Y95" s="1"/>
  <c r="W89"/>
  <c r="Y89" s="1"/>
  <c r="U38"/>
  <c r="U35"/>
  <c r="U34"/>
  <c r="U44"/>
  <c r="X28" i="4"/>
  <c r="U30"/>
  <c r="U31"/>
  <c r="X29"/>
  <c r="U32"/>
  <c r="N128" i="1"/>
  <c r="W38" l="1"/>
  <c r="Y38" s="1"/>
  <c r="W34"/>
  <c r="Y34" s="1"/>
  <c r="W44"/>
  <c r="Y44" s="1"/>
  <c r="W35"/>
  <c r="Y35" s="1"/>
  <c r="U128"/>
  <c r="U33" i="4"/>
  <c r="X30"/>
  <c r="U34"/>
  <c r="X31"/>
  <c r="X32"/>
  <c r="U35"/>
  <c r="U36"/>
  <c r="X33"/>
  <c r="U37"/>
  <c r="R41" i="1"/>
  <c r="R24"/>
  <c r="R20"/>
  <c r="W128" l="1"/>
  <c r="Y128" s="1"/>
  <c r="U24"/>
  <c r="U20"/>
  <c r="U41"/>
  <c r="X34" i="4"/>
  <c r="U38"/>
  <c r="R21" i="1"/>
  <c r="R28"/>
  <c r="W24" l="1"/>
  <c r="Y24" s="1"/>
  <c r="W20"/>
  <c r="Y20" s="1"/>
  <c r="W41"/>
  <c r="Y41" s="1"/>
  <c r="U21"/>
  <c r="U28"/>
  <c r="X35" i="4"/>
  <c r="U39"/>
  <c r="R15" i="1"/>
  <c r="R29"/>
  <c r="R36"/>
  <c r="R138"/>
  <c r="R40"/>
  <c r="R17"/>
  <c r="R37"/>
  <c r="R14"/>
  <c r="H124"/>
  <c r="R139"/>
  <c r="R124"/>
  <c r="R25"/>
  <c r="R16"/>
  <c r="W21" l="1"/>
  <c r="Y21" s="1"/>
  <c r="W28"/>
  <c r="Y28" s="1"/>
  <c r="U16"/>
  <c r="U36"/>
  <c r="U37"/>
  <c r="U139"/>
  <c r="U25"/>
  <c r="U29"/>
  <c r="U17"/>
  <c r="U138"/>
  <c r="U15"/>
  <c r="U40"/>
  <c r="U14"/>
  <c r="X36" i="4"/>
  <c r="X37"/>
  <c r="X38"/>
  <c r="X39"/>
  <c r="N124" i="1"/>
  <c r="R129"/>
  <c r="H129"/>
  <c r="U124" l="1"/>
  <c r="W40"/>
  <c r="Y40" s="1"/>
  <c r="W29"/>
  <c r="Y29" s="1"/>
  <c r="W14"/>
  <c r="W17"/>
  <c r="Y17" s="1"/>
  <c r="W37"/>
  <c r="Y37" s="1"/>
  <c r="W138"/>
  <c r="Y138" s="1"/>
  <c r="W139"/>
  <c r="Y139" s="1"/>
  <c r="W124"/>
  <c r="Y124" s="1"/>
  <c r="W15"/>
  <c r="Y15" s="1"/>
  <c r="W25"/>
  <c r="Y25" s="1"/>
  <c r="W16"/>
  <c r="Y16" s="1"/>
  <c r="W36"/>
  <c r="Y36" s="1"/>
  <c r="Y14"/>
  <c r="N129"/>
  <c r="U129" l="1"/>
  <c r="W129" s="1"/>
  <c r="Y129" l="1"/>
  <c r="H6" a="1"/>
  <c r="H6" s="1"/>
  <c r="D9" i="12" s="1"/>
  <c r="H5" i="1" a="1"/>
  <c r="H5" s="1"/>
  <c r="D8" i="12" s="1"/>
  <c r="H7" i="1" a="1"/>
  <c r="H7" s="1"/>
  <c r="D10" i="12" s="1"/>
  <c r="H4" i="1" a="1"/>
  <c r="H4" s="1"/>
  <c r="D7" i="12" s="1"/>
  <c r="I4" i="1" a="1"/>
  <c r="I4" s="1"/>
  <c r="E7" i="12" s="1"/>
  <c r="I6" i="1" a="1"/>
  <c r="I6" s="1"/>
  <c r="E9" i="12" s="1"/>
  <c r="I7" i="1" a="1"/>
  <c r="I7" s="1"/>
  <c r="E10" i="12" s="1"/>
  <c r="I5" i="1" a="1"/>
  <c r="I5" s="1"/>
  <c r="E8" i="12" s="1"/>
  <c r="C28" i="7" a="1"/>
  <c r="D6" a="1"/>
  <c r="C6" a="1"/>
  <c r="F6" a="1"/>
  <c r="U6" a="1"/>
  <c r="H6" a="1"/>
  <c r="Q6" a="1"/>
  <c r="J6" a="1"/>
  <c r="I6" a="1"/>
  <c r="AA6" a="1"/>
  <c r="W6" a="1"/>
  <c r="V6" a="1"/>
  <c r="G28" a="1"/>
  <c r="L6" a="1"/>
  <c r="K28" a="1"/>
  <c r="M6" a="1"/>
  <c r="D28" a="1"/>
  <c r="Y6" a="1"/>
  <c r="G6" a="1"/>
  <c r="E6" a="1"/>
  <c r="L28" a="1"/>
  <c r="H28" a="1"/>
  <c r="P6" a="1"/>
  <c r="Z6" a="1"/>
  <c r="AB6" a="1"/>
  <c r="X6" a="1"/>
  <c r="R6" a="1"/>
  <c r="N6" a="1"/>
  <c r="S6" a="1"/>
  <c r="O6" a="1"/>
  <c r="O11" l="1"/>
  <c r="Q36" i="8" s="1"/>
  <c r="R36" s="1"/>
  <c r="X36" s="1"/>
  <c r="O7" i="7"/>
  <c r="Q32" i="8" s="1"/>
  <c r="R32" s="1"/>
  <c r="X32" s="1"/>
  <c r="O15" i="7"/>
  <c r="Q40" i="8" s="1"/>
  <c r="R40" s="1"/>
  <c r="X40" s="1"/>
  <c r="O6" i="7"/>
  <c r="Q31" i="8" s="1"/>
  <c r="R31" s="1"/>
  <c r="O10" i="7"/>
  <c r="Q35" i="8" s="1"/>
  <c r="R35" s="1"/>
  <c r="X35" s="1"/>
  <c r="O14" i="7"/>
  <c r="Q39" i="8" s="1"/>
  <c r="R39" s="1"/>
  <c r="X39" s="1"/>
  <c r="O19" i="7"/>
  <c r="Q44" i="8" s="1"/>
  <c r="R44" s="1"/>
  <c r="X44" s="1"/>
  <c r="O12" i="7"/>
  <c r="Q37" i="8" s="1"/>
  <c r="R37" s="1"/>
  <c r="X37" s="1"/>
  <c r="O20" i="7"/>
  <c r="Q45" i="8" s="1"/>
  <c r="R45" s="1"/>
  <c r="X45" s="1"/>
  <c r="O13" i="7"/>
  <c r="Q38" i="8" s="1"/>
  <c r="R38" s="1"/>
  <c r="X38" s="1"/>
  <c r="O18" i="7"/>
  <c r="Q43" i="8" s="1"/>
  <c r="R43" s="1"/>
  <c r="X43" s="1"/>
  <c r="O16" i="7"/>
  <c r="Q41" i="8" s="1"/>
  <c r="R41" s="1"/>
  <c r="X41" s="1"/>
  <c r="O8" i="7"/>
  <c r="Q33" i="8" s="1"/>
  <c r="R33" s="1"/>
  <c r="X33" s="1"/>
  <c r="O9" i="7"/>
  <c r="Q34" i="8" s="1"/>
  <c r="R34" s="1"/>
  <c r="X34" s="1"/>
  <c r="O17" i="7"/>
  <c r="Q42" i="8" s="1"/>
  <c r="R42" s="1"/>
  <c r="X42" s="1"/>
  <c r="S18" i="7"/>
  <c r="Q77" i="8" s="1"/>
  <c r="R77" s="1"/>
  <c r="X77" s="1"/>
  <c r="S6" i="7"/>
  <c r="Q65" i="8" s="1"/>
  <c r="R65" s="1"/>
  <c r="S10" i="7"/>
  <c r="Q69" i="8" s="1"/>
  <c r="R69" s="1"/>
  <c r="X69" s="1"/>
  <c r="S14" i="7"/>
  <c r="Q73" i="8" s="1"/>
  <c r="R73" s="1"/>
  <c r="X73" s="1"/>
  <c r="S8" i="7"/>
  <c r="Q67" i="8" s="1"/>
  <c r="R67" s="1"/>
  <c r="X67" s="1"/>
  <c r="S9" i="7"/>
  <c r="Q68" i="8" s="1"/>
  <c r="R68" s="1"/>
  <c r="X68" s="1"/>
  <c r="S13" i="7"/>
  <c r="Q72" i="8" s="1"/>
  <c r="R72" s="1"/>
  <c r="X72" s="1"/>
  <c r="S17" i="7"/>
  <c r="Q76" i="8" s="1"/>
  <c r="R76" s="1"/>
  <c r="X76" s="1"/>
  <c r="S12" i="7"/>
  <c r="Q71" i="8" s="1"/>
  <c r="R71" s="1"/>
  <c r="X71" s="1"/>
  <c r="S16" i="7"/>
  <c r="Q75" i="8" s="1"/>
  <c r="R75" s="1"/>
  <c r="X75" s="1"/>
  <c r="S20" i="7"/>
  <c r="Q79" i="8" s="1"/>
  <c r="R79" s="1"/>
  <c r="X79" s="1"/>
  <c r="S19" i="7"/>
  <c r="Q78" i="8" s="1"/>
  <c r="R78" s="1"/>
  <c r="X78" s="1"/>
  <c r="S11" i="7"/>
  <c r="Q70" i="8" s="1"/>
  <c r="R70" s="1"/>
  <c r="X70" s="1"/>
  <c r="S15" i="7"/>
  <c r="Q74" i="8" s="1"/>
  <c r="R74" s="1"/>
  <c r="X74" s="1"/>
  <c r="S7" i="7"/>
  <c r="Q66" i="8" s="1"/>
  <c r="R66" s="1"/>
  <c r="X66" s="1"/>
  <c r="N16" i="7"/>
  <c r="H41" i="8" s="1"/>
  <c r="I41" s="1"/>
  <c r="U41" s="1"/>
  <c r="N20" i="7"/>
  <c r="H45" i="8" s="1"/>
  <c r="I45" s="1"/>
  <c r="U45" s="1"/>
  <c r="N8" i="7"/>
  <c r="H33" i="8" s="1"/>
  <c r="I33" s="1"/>
  <c r="U33" s="1"/>
  <c r="N18" i="7"/>
  <c r="H43" i="8" s="1"/>
  <c r="I43" s="1"/>
  <c r="U43" s="1"/>
  <c r="N19" i="7"/>
  <c r="H44" i="8" s="1"/>
  <c r="I44" s="1"/>
  <c r="U44" s="1"/>
  <c r="N7" i="7"/>
  <c r="H32" i="8" s="1"/>
  <c r="I32" s="1"/>
  <c r="U32" s="1"/>
  <c r="N12" i="7"/>
  <c r="H37" i="8" s="1"/>
  <c r="I37" s="1"/>
  <c r="U37" s="1"/>
  <c r="N9" i="7"/>
  <c r="H34" i="8" s="1"/>
  <c r="I34" s="1"/>
  <c r="U34" s="1"/>
  <c r="N14" i="7"/>
  <c r="H39" i="8" s="1"/>
  <c r="I39" s="1"/>
  <c r="U39" s="1"/>
  <c r="N10" i="7"/>
  <c r="H35" i="8" s="1"/>
  <c r="I35" s="1"/>
  <c r="U35" s="1"/>
  <c r="N11" i="7"/>
  <c r="H36" i="8" s="1"/>
  <c r="I36" s="1"/>
  <c r="U36" s="1"/>
  <c r="N13" i="7"/>
  <c r="H38" i="8" s="1"/>
  <c r="I38" s="1"/>
  <c r="U38" s="1"/>
  <c r="N15" i="7"/>
  <c r="H40" i="8" s="1"/>
  <c r="I40" s="1"/>
  <c r="U40" s="1"/>
  <c r="N6" i="7"/>
  <c r="H31" i="8" s="1"/>
  <c r="I31" s="1"/>
  <c r="N17" i="7"/>
  <c r="H42" i="8" s="1"/>
  <c r="I42" s="1"/>
  <c r="U42" s="1"/>
  <c r="R6" i="7"/>
  <c r="H65" i="8" s="1"/>
  <c r="I65" s="1"/>
  <c r="R10" i="7"/>
  <c r="H69" i="8" s="1"/>
  <c r="I69" s="1"/>
  <c r="U69" s="1"/>
  <c r="R14" i="7"/>
  <c r="H73" i="8" s="1"/>
  <c r="I73" s="1"/>
  <c r="U73" s="1"/>
  <c r="R11" i="7"/>
  <c r="H70" i="8" s="1"/>
  <c r="I70" s="1"/>
  <c r="U70" s="1"/>
  <c r="R9" i="7"/>
  <c r="H68" i="8" s="1"/>
  <c r="I68" s="1"/>
  <c r="U68" s="1"/>
  <c r="R13" i="7"/>
  <c r="H72" i="8" s="1"/>
  <c r="I72" s="1"/>
  <c r="U72" s="1"/>
  <c r="R17" i="7"/>
  <c r="H76" i="8" s="1"/>
  <c r="I76" s="1"/>
  <c r="U76" s="1"/>
  <c r="R18" i="7"/>
  <c r="H77" i="8" s="1"/>
  <c r="I77" s="1"/>
  <c r="U77" s="1"/>
  <c r="R12" i="7"/>
  <c r="H71" i="8" s="1"/>
  <c r="I71" s="1"/>
  <c r="U71" s="1"/>
  <c r="R16" i="7"/>
  <c r="H75" i="8" s="1"/>
  <c r="I75" s="1"/>
  <c r="U75" s="1"/>
  <c r="R20" i="7"/>
  <c r="H79" i="8" s="1"/>
  <c r="I79" s="1"/>
  <c r="U79" s="1"/>
  <c r="R8" i="7"/>
  <c r="H67" i="8" s="1"/>
  <c r="I67" s="1"/>
  <c r="U67" s="1"/>
  <c r="R15" i="7"/>
  <c r="H74" i="8" s="1"/>
  <c r="I74" s="1"/>
  <c r="U74" s="1"/>
  <c r="R7" i="7"/>
  <c r="H66" i="8" s="1"/>
  <c r="I66" s="1"/>
  <c r="U66" s="1"/>
  <c r="R19" i="7"/>
  <c r="H78" i="8" s="1"/>
  <c r="I78" s="1"/>
  <c r="U78" s="1"/>
  <c r="X18" i="7"/>
  <c r="X6"/>
  <c r="X10"/>
  <c r="X14"/>
  <c r="X8"/>
  <c r="X9"/>
  <c r="X13"/>
  <c r="X17"/>
  <c r="X7"/>
  <c r="X15"/>
  <c r="X12"/>
  <c r="X20"/>
  <c r="X19"/>
  <c r="X11"/>
  <c r="X16"/>
  <c r="AB15"/>
  <c r="AB12"/>
  <c r="AB16"/>
  <c r="AB18"/>
  <c r="AB19"/>
  <c r="AB7"/>
  <c r="AB11"/>
  <c r="AB17"/>
  <c r="AB10"/>
  <c r="AB6"/>
  <c r="AB14"/>
  <c r="AB20"/>
  <c r="AB8"/>
  <c r="AB9"/>
  <c r="AB13"/>
  <c r="Z14"/>
  <c r="Z18"/>
  <c r="Z22"/>
  <c r="Z9"/>
  <c r="Z13"/>
  <c r="Z17"/>
  <c r="Z21"/>
  <c r="Z8"/>
  <c r="Z12"/>
  <c r="Z19"/>
  <c r="Z10"/>
  <c r="Z16"/>
  <c r="Z7"/>
  <c r="Z15"/>
  <c r="Z6"/>
  <c r="Z20"/>
  <c r="Z11"/>
  <c r="P15"/>
  <c r="H21" i="8" s="1"/>
  <c r="I21" s="1"/>
  <c r="U21" s="1"/>
  <c r="P11" i="7"/>
  <c r="H17" i="8" s="1"/>
  <c r="I17" s="1"/>
  <c r="U17" s="1"/>
  <c r="P19" i="7"/>
  <c r="H25" i="8" s="1"/>
  <c r="I25" s="1"/>
  <c r="U25" s="1"/>
  <c r="P6" i="7"/>
  <c r="H12" i="8" s="1"/>
  <c r="I12" s="1"/>
  <c r="P10" i="7"/>
  <c r="H16" i="8" s="1"/>
  <c r="I16" s="1"/>
  <c r="U16" s="1"/>
  <c r="P14" i="7"/>
  <c r="H20" i="8" s="1"/>
  <c r="I20" s="1"/>
  <c r="U20" s="1"/>
  <c r="P18" i="7"/>
  <c r="H24" i="8" s="1"/>
  <c r="I24" s="1"/>
  <c r="U24" s="1"/>
  <c r="P22" i="7"/>
  <c r="H28" i="8" s="1"/>
  <c r="I28" s="1"/>
  <c r="U28" s="1"/>
  <c r="P8" i="7"/>
  <c r="H14" i="8" s="1"/>
  <c r="I14" s="1"/>
  <c r="U14" s="1"/>
  <c r="P16" i="7"/>
  <c r="H22" i="8" s="1"/>
  <c r="I22" s="1"/>
  <c r="U22" s="1"/>
  <c r="P7" i="7"/>
  <c r="H13" i="8" s="1"/>
  <c r="I13" s="1"/>
  <c r="U13" s="1"/>
  <c r="P13" i="7"/>
  <c r="H19" i="8" s="1"/>
  <c r="I19" s="1"/>
  <c r="U19" s="1"/>
  <c r="P21" i="7"/>
  <c r="H27" i="8" s="1"/>
  <c r="I27" s="1"/>
  <c r="U27" s="1"/>
  <c r="P12" i="7"/>
  <c r="H18" i="8" s="1"/>
  <c r="I18" s="1"/>
  <c r="U18" s="1"/>
  <c r="P20" i="7"/>
  <c r="H26" i="8" s="1"/>
  <c r="I26" s="1"/>
  <c r="U26" s="1"/>
  <c r="P9" i="7"/>
  <c r="H15" i="8" s="1"/>
  <c r="I15" s="1"/>
  <c r="U15" s="1"/>
  <c r="P17" i="7"/>
  <c r="H23" i="8" s="1"/>
  <c r="I23" s="1"/>
  <c r="U23" s="1"/>
  <c r="H41" i="7"/>
  <c r="H62" i="9" s="1"/>
  <c r="I62" s="1"/>
  <c r="M62" s="1"/>
  <c r="H31" i="7"/>
  <c r="H52" i="9" s="1"/>
  <c r="I52" s="1"/>
  <c r="M52" s="1"/>
  <c r="H46" i="7"/>
  <c r="H67" i="9" s="1"/>
  <c r="I67" s="1"/>
  <c r="M67" s="1"/>
  <c r="H48" i="7"/>
  <c r="H69" i="9" s="1"/>
  <c r="I69" s="1"/>
  <c r="M69" s="1"/>
  <c r="H42" i="7"/>
  <c r="H63" i="9" s="1"/>
  <c r="I63" s="1"/>
  <c r="M63" s="1"/>
  <c r="H28" i="7"/>
  <c r="H49" i="9" s="1"/>
  <c r="I49" s="1"/>
  <c r="H55" i="7"/>
  <c r="H76" i="9" s="1"/>
  <c r="I76" s="1"/>
  <c r="M76" s="1"/>
  <c r="H45" i="7"/>
  <c r="H66" i="9" s="1"/>
  <c r="I66" s="1"/>
  <c r="M66" s="1"/>
  <c r="H35" i="7"/>
  <c r="H56" i="9" s="1"/>
  <c r="I56" s="1"/>
  <c r="M56" s="1"/>
  <c r="H36" i="7"/>
  <c r="H57" i="9" s="1"/>
  <c r="I57" s="1"/>
  <c r="M57" s="1"/>
  <c r="H50" i="7"/>
  <c r="H71" i="9" s="1"/>
  <c r="I71" s="1"/>
  <c r="M71" s="1"/>
  <c r="H64" i="7"/>
  <c r="H85" i="9" s="1"/>
  <c r="I85" s="1"/>
  <c r="H33" i="7"/>
  <c r="H54" i="9" s="1"/>
  <c r="I54" s="1"/>
  <c r="M54" s="1"/>
  <c r="H39" i="7"/>
  <c r="H60" i="9" s="1"/>
  <c r="I60" s="1"/>
  <c r="M60" s="1"/>
  <c r="H61" i="7"/>
  <c r="H82" i="9" s="1"/>
  <c r="I82" s="1"/>
  <c r="M82" s="1"/>
  <c r="H34" i="7"/>
  <c r="H55" i="9" s="1"/>
  <c r="I55" s="1"/>
  <c r="M55" s="1"/>
  <c r="H57" i="7"/>
  <c r="H78" i="9" s="1"/>
  <c r="I78" s="1"/>
  <c r="M78" s="1"/>
  <c r="H63" i="7"/>
  <c r="H84" i="9" s="1"/>
  <c r="I84" s="1"/>
  <c r="M84" s="1"/>
  <c r="H32" i="7"/>
  <c r="H53" i="9" s="1"/>
  <c r="I53" s="1"/>
  <c r="M53" s="1"/>
  <c r="H30" i="7"/>
  <c r="H51" i="9" s="1"/>
  <c r="I51" s="1"/>
  <c r="M51" s="1"/>
  <c r="H60" i="7"/>
  <c r="H81" i="9" s="1"/>
  <c r="I81" s="1"/>
  <c r="M81" s="1"/>
  <c r="H29" i="7"/>
  <c r="H50" i="9" s="1"/>
  <c r="I50" s="1"/>
  <c r="M50" s="1"/>
  <c r="H51" i="7"/>
  <c r="H72" i="9" s="1"/>
  <c r="I72" s="1"/>
  <c r="M72" s="1"/>
  <c r="H58" i="7"/>
  <c r="H79" i="9" s="1"/>
  <c r="I79" s="1"/>
  <c r="M79" s="1"/>
  <c r="H47" i="7"/>
  <c r="H68" i="9" s="1"/>
  <c r="I68" s="1"/>
  <c r="M68" s="1"/>
  <c r="H53" i="7"/>
  <c r="H74" i="9" s="1"/>
  <c r="I74" s="1"/>
  <c r="M74" s="1"/>
  <c r="H59" i="7"/>
  <c r="H80" i="9" s="1"/>
  <c r="I80" s="1"/>
  <c r="M80" s="1"/>
  <c r="H44" i="7"/>
  <c r="H65" i="9" s="1"/>
  <c r="I65" s="1"/>
  <c r="M65" s="1"/>
  <c r="H62" i="7"/>
  <c r="H83" i="9" s="1"/>
  <c r="I83" s="1"/>
  <c r="M83" s="1"/>
  <c r="H56" i="7"/>
  <c r="H77" i="9" s="1"/>
  <c r="I77" s="1"/>
  <c r="M77" s="1"/>
  <c r="H52" i="7"/>
  <c r="H73" i="9" s="1"/>
  <c r="I73" s="1"/>
  <c r="M73" s="1"/>
  <c r="H37" i="7"/>
  <c r="H58" i="9" s="1"/>
  <c r="I58" s="1"/>
  <c r="M58" s="1"/>
  <c r="H43" i="7"/>
  <c r="H64" i="9" s="1"/>
  <c r="I64" s="1"/>
  <c r="M64" s="1"/>
  <c r="H49" i="7"/>
  <c r="H70" i="9" s="1"/>
  <c r="I70" s="1"/>
  <c r="M70" s="1"/>
  <c r="H38" i="7"/>
  <c r="H59" i="9" s="1"/>
  <c r="I59" s="1"/>
  <c r="M59" s="1"/>
  <c r="H40" i="7"/>
  <c r="H61" i="9" s="1"/>
  <c r="I61" s="1"/>
  <c r="M61" s="1"/>
  <c r="H54" i="7"/>
  <c r="H75" i="9" s="1"/>
  <c r="I75" s="1"/>
  <c r="M75" s="1"/>
  <c r="L30" i="7"/>
  <c r="H90" i="9" s="1"/>
  <c r="I90" s="1"/>
  <c r="M90" s="1"/>
  <c r="L52" i="7"/>
  <c r="H112" i="9" s="1"/>
  <c r="I112" s="1"/>
  <c r="M112" s="1"/>
  <c r="L46" i="7"/>
  <c r="H106" i="9" s="1"/>
  <c r="I106" s="1"/>
  <c r="M106" s="1"/>
  <c r="L32" i="7"/>
  <c r="H92" i="9" s="1"/>
  <c r="I92" s="1"/>
  <c r="M92" s="1"/>
  <c r="L59" i="7"/>
  <c r="H119" i="9" s="1"/>
  <c r="I119" s="1"/>
  <c r="M119" s="1"/>
  <c r="L49" i="7"/>
  <c r="H109" i="9" s="1"/>
  <c r="I109" s="1"/>
  <c r="M109" s="1"/>
  <c r="L39" i="7"/>
  <c r="H99" i="9" s="1"/>
  <c r="I99" s="1"/>
  <c r="M99" s="1"/>
  <c r="L29" i="7"/>
  <c r="H89" i="9" s="1"/>
  <c r="I89" s="1"/>
  <c r="M89" s="1"/>
  <c r="L56" i="7"/>
  <c r="H116" i="9" s="1"/>
  <c r="I116" s="1"/>
  <c r="M116" s="1"/>
  <c r="L50" i="7"/>
  <c r="H110" i="9" s="1"/>
  <c r="I110" s="1"/>
  <c r="M110" s="1"/>
  <c r="L36" i="7"/>
  <c r="H96" i="9" s="1"/>
  <c r="I96" s="1"/>
  <c r="M96" s="1"/>
  <c r="L63" i="7"/>
  <c r="H123" i="9" s="1"/>
  <c r="I123" s="1"/>
  <c r="M123" s="1"/>
  <c r="L53" i="7"/>
  <c r="H113" i="9" s="1"/>
  <c r="I113" s="1"/>
  <c r="M113" s="1"/>
  <c r="L43" i="7"/>
  <c r="H103" i="9" s="1"/>
  <c r="I103" s="1"/>
  <c r="M103" s="1"/>
  <c r="L33" i="7"/>
  <c r="H93" i="9" s="1"/>
  <c r="I93" s="1"/>
  <c r="M93" s="1"/>
  <c r="L60" i="7"/>
  <c r="H120" i="9" s="1"/>
  <c r="I120" s="1"/>
  <c r="M120" s="1"/>
  <c r="L54" i="7"/>
  <c r="H114" i="9" s="1"/>
  <c r="I114" s="1"/>
  <c r="M114" s="1"/>
  <c r="L40" i="7"/>
  <c r="H100" i="9" s="1"/>
  <c r="I100" s="1"/>
  <c r="M100" s="1"/>
  <c r="L34" i="7"/>
  <c r="H94" i="9" s="1"/>
  <c r="I94" s="1"/>
  <c r="M94" s="1"/>
  <c r="L31" i="7"/>
  <c r="H91" i="9" s="1"/>
  <c r="I91" s="1"/>
  <c r="M91" s="1"/>
  <c r="L48" i="7"/>
  <c r="H108" i="9" s="1"/>
  <c r="I108" s="1"/>
  <c r="M108" s="1"/>
  <c r="L28" i="7"/>
  <c r="H88" i="9" s="1"/>
  <c r="I88" s="1"/>
  <c r="L45" i="7"/>
  <c r="H105" i="9" s="1"/>
  <c r="I105" s="1"/>
  <c r="M105" s="1"/>
  <c r="L57" i="7"/>
  <c r="H117" i="9" s="1"/>
  <c r="I117" s="1"/>
  <c r="M117" s="1"/>
  <c r="L37" i="7"/>
  <c r="H97" i="9" s="1"/>
  <c r="I97" s="1"/>
  <c r="M97" s="1"/>
  <c r="L58" i="7"/>
  <c r="H118" i="9" s="1"/>
  <c r="I118" s="1"/>
  <c r="M118" s="1"/>
  <c r="L38" i="7"/>
  <c r="H98" i="9" s="1"/>
  <c r="I98" s="1"/>
  <c r="M98" s="1"/>
  <c r="L51" i="7"/>
  <c r="H111" i="9" s="1"/>
  <c r="I111" s="1"/>
  <c r="M111" s="1"/>
  <c r="L41" i="7"/>
  <c r="H101" i="9" s="1"/>
  <c r="I101" s="1"/>
  <c r="M101" s="1"/>
  <c r="L62" i="7"/>
  <c r="H122" i="9" s="1"/>
  <c r="I122" s="1"/>
  <c r="M122" s="1"/>
  <c r="L42" i="7"/>
  <c r="H102" i="9" s="1"/>
  <c r="I102" s="1"/>
  <c r="M102" s="1"/>
  <c r="L55" i="7"/>
  <c r="H115" i="9" s="1"/>
  <c r="I115" s="1"/>
  <c r="M115" s="1"/>
  <c r="L35" i="7"/>
  <c r="H95" i="9" s="1"/>
  <c r="I95" s="1"/>
  <c r="M95" s="1"/>
  <c r="L47" i="7"/>
  <c r="H107" i="9" s="1"/>
  <c r="I107" s="1"/>
  <c r="M107" s="1"/>
  <c r="L64" i="7"/>
  <c r="H124" i="9" s="1"/>
  <c r="I124" s="1"/>
  <c r="M124" s="1"/>
  <c r="L44" i="7"/>
  <c r="H104" i="9" s="1"/>
  <c r="I104" s="1"/>
  <c r="M104" s="1"/>
  <c r="L61" i="7"/>
  <c r="H121" i="9" s="1"/>
  <c r="I121" s="1"/>
  <c r="M121" s="1"/>
  <c r="E8" i="7"/>
  <c r="E33" i="8" s="1"/>
  <c r="F33" s="1"/>
  <c r="T33" s="1"/>
  <c r="E20" i="7"/>
  <c r="E45" i="8" s="1"/>
  <c r="F45" s="1"/>
  <c r="T45" s="1"/>
  <c r="E16" i="7"/>
  <c r="E41" i="8" s="1"/>
  <c r="F41" s="1"/>
  <c r="T41" s="1"/>
  <c r="E12" i="7"/>
  <c r="E37" i="8" s="1"/>
  <c r="F37" s="1"/>
  <c r="T37" s="1"/>
  <c r="E17" i="7"/>
  <c r="E42" i="8" s="1"/>
  <c r="F42" s="1"/>
  <c r="T42" s="1"/>
  <c r="E13" i="7"/>
  <c r="E38" i="8" s="1"/>
  <c r="F38" s="1"/>
  <c r="T38" s="1"/>
  <c r="E9" i="7"/>
  <c r="E34" i="8" s="1"/>
  <c r="F34" s="1"/>
  <c r="T34" s="1"/>
  <c r="E10" i="7"/>
  <c r="E35" i="8" s="1"/>
  <c r="F35" s="1"/>
  <c r="T35" s="1"/>
  <c r="E19" i="7"/>
  <c r="E44" i="8" s="1"/>
  <c r="F44" s="1"/>
  <c r="T44" s="1"/>
  <c r="E11" i="7"/>
  <c r="E36" i="8" s="1"/>
  <c r="F36" s="1"/>
  <c r="T36" s="1"/>
  <c r="E14" i="7"/>
  <c r="E39" i="8" s="1"/>
  <c r="F39" s="1"/>
  <c r="T39" s="1"/>
  <c r="E18" i="7"/>
  <c r="E43" i="8" s="1"/>
  <c r="F43" s="1"/>
  <c r="T43" s="1"/>
  <c r="E7" i="7"/>
  <c r="E32" i="8" s="1"/>
  <c r="F32" s="1"/>
  <c r="T32" s="1"/>
  <c r="E15" i="7"/>
  <c r="E40" i="8" s="1"/>
  <c r="F40" s="1"/>
  <c r="T40" s="1"/>
  <c r="E6" i="7"/>
  <c r="E31" i="8" s="1"/>
  <c r="F31" s="1"/>
  <c r="G10" i="7"/>
  <c r="E16" i="8" s="1"/>
  <c r="F16" s="1"/>
  <c r="T16" s="1"/>
  <c r="G6" i="7"/>
  <c r="E12" i="8" s="1"/>
  <c r="F12" s="1"/>
  <c r="G19" i="7"/>
  <c r="E25" i="8" s="1"/>
  <c r="F25" s="1"/>
  <c r="T25" s="1"/>
  <c r="G15" i="7"/>
  <c r="E21" i="8" s="1"/>
  <c r="F21" s="1"/>
  <c r="T21" s="1"/>
  <c r="G11" i="7"/>
  <c r="E17" i="8" s="1"/>
  <c r="F17" s="1"/>
  <c r="T17" s="1"/>
  <c r="G7" i="7"/>
  <c r="E13" i="8" s="1"/>
  <c r="F13" s="1"/>
  <c r="T13" s="1"/>
  <c r="G20" i="7"/>
  <c r="E26" i="8" s="1"/>
  <c r="F26" s="1"/>
  <c r="T26" s="1"/>
  <c r="G16" i="7"/>
  <c r="E22" i="8" s="1"/>
  <c r="F22" s="1"/>
  <c r="T22" s="1"/>
  <c r="G12" i="7"/>
  <c r="E18" i="8" s="1"/>
  <c r="F18" s="1"/>
  <c r="T18" s="1"/>
  <c r="G22" i="7"/>
  <c r="E28" i="8" s="1"/>
  <c r="F28" s="1"/>
  <c r="T28" s="1"/>
  <c r="G14" i="7"/>
  <c r="E20" i="8" s="1"/>
  <c r="F20" s="1"/>
  <c r="T20" s="1"/>
  <c r="G8" i="7"/>
  <c r="E14" i="8" s="1"/>
  <c r="F14" s="1"/>
  <c r="T14" s="1"/>
  <c r="G17" i="7"/>
  <c r="E23" i="8" s="1"/>
  <c r="F23" s="1"/>
  <c r="T23" s="1"/>
  <c r="G9" i="7"/>
  <c r="E15" i="8" s="1"/>
  <c r="F15" s="1"/>
  <c r="T15" s="1"/>
  <c r="G18" i="7"/>
  <c r="E24" i="8" s="1"/>
  <c r="F24" s="1"/>
  <c r="T24" s="1"/>
  <c r="G21" i="7"/>
  <c r="E27" i="8" s="1"/>
  <c r="F27" s="1"/>
  <c r="T27" s="1"/>
  <c r="G13" i="7"/>
  <c r="E19" i="8" s="1"/>
  <c r="F19" s="1"/>
  <c r="T19" s="1"/>
  <c r="Y22" i="7"/>
  <c r="K28" i="8" s="1"/>
  <c r="L28" s="1"/>
  <c r="V28" s="1"/>
  <c r="Y9" i="7"/>
  <c r="K15" i="8" s="1"/>
  <c r="L15" s="1"/>
  <c r="V15" s="1"/>
  <c r="Y13" i="7"/>
  <c r="K19" i="8" s="1"/>
  <c r="L19" s="1"/>
  <c r="V19" s="1"/>
  <c r="Y17" i="7"/>
  <c r="K23" i="8" s="1"/>
  <c r="L23" s="1"/>
  <c r="V23" s="1"/>
  <c r="Y21" i="7"/>
  <c r="K27" i="8" s="1"/>
  <c r="L27" s="1"/>
  <c r="V27" s="1"/>
  <c r="Y8" i="7"/>
  <c r="K14" i="8" s="1"/>
  <c r="L14" s="1"/>
  <c r="V14" s="1"/>
  <c r="Y12" i="7"/>
  <c r="K18" i="8" s="1"/>
  <c r="L18" s="1"/>
  <c r="V18" s="1"/>
  <c r="Y16" i="7"/>
  <c r="K22" i="8" s="1"/>
  <c r="L22" s="1"/>
  <c r="V22" s="1"/>
  <c r="Y20" i="7"/>
  <c r="K26" i="8" s="1"/>
  <c r="L26" s="1"/>
  <c r="V26" s="1"/>
  <c r="Y7" i="7"/>
  <c r="K13" i="8" s="1"/>
  <c r="L13" s="1"/>
  <c r="V13" s="1"/>
  <c r="Y11" i="7"/>
  <c r="K17" i="8" s="1"/>
  <c r="L17" s="1"/>
  <c r="V17" s="1"/>
  <c r="Y15" i="7"/>
  <c r="K21" i="8" s="1"/>
  <c r="L21" s="1"/>
  <c r="V21" s="1"/>
  <c r="Y19" i="7"/>
  <c r="K25" i="8" s="1"/>
  <c r="L25" s="1"/>
  <c r="V25" s="1"/>
  <c r="Y6" i="7"/>
  <c r="K12" i="8" s="1"/>
  <c r="L12" s="1"/>
  <c r="Y10" i="7"/>
  <c r="K16" i="8" s="1"/>
  <c r="L16" s="1"/>
  <c r="V16" s="1"/>
  <c r="Y14" i="7"/>
  <c r="K20" i="8" s="1"/>
  <c r="L20" s="1"/>
  <c r="V20" s="1"/>
  <c r="Y18" i="7"/>
  <c r="K24" i="8" s="1"/>
  <c r="L24" s="1"/>
  <c r="V24" s="1"/>
  <c r="D36" i="7"/>
  <c r="H18" i="9" s="1"/>
  <c r="I18" s="1"/>
  <c r="M18" s="1"/>
  <c r="D63" i="7"/>
  <c r="H45" i="9" s="1"/>
  <c r="I45" s="1"/>
  <c r="M45" s="1"/>
  <c r="D53" i="7"/>
  <c r="H35" i="9" s="1"/>
  <c r="I35" s="1"/>
  <c r="M35" s="1"/>
  <c r="D43" i="7"/>
  <c r="H25" i="9" s="1"/>
  <c r="I25" s="1"/>
  <c r="M25" s="1"/>
  <c r="D33" i="7"/>
  <c r="H15" i="9" s="1"/>
  <c r="I15" s="1"/>
  <c r="M15" s="1"/>
  <c r="D60" i="7"/>
  <c r="H42" i="9" s="1"/>
  <c r="I42" s="1"/>
  <c r="M42" s="1"/>
  <c r="D54" i="7"/>
  <c r="H36" i="9" s="1"/>
  <c r="I36" s="1"/>
  <c r="M36" s="1"/>
  <c r="D40" i="7"/>
  <c r="H22" i="9" s="1"/>
  <c r="I22" s="1"/>
  <c r="M22" s="1"/>
  <c r="D30" i="7"/>
  <c r="H12" i="9" s="1"/>
  <c r="I12" s="1"/>
  <c r="M12" s="1"/>
  <c r="D57" i="7"/>
  <c r="H39" i="9" s="1"/>
  <c r="I39" s="1"/>
  <c r="M39" s="1"/>
  <c r="D47" i="7"/>
  <c r="H29" i="9" s="1"/>
  <c r="I29" s="1"/>
  <c r="M29" s="1"/>
  <c r="D58" i="7"/>
  <c r="H40" i="9" s="1"/>
  <c r="I40" s="1"/>
  <c r="M40" s="1"/>
  <c r="D46" i="7"/>
  <c r="H28" i="9" s="1"/>
  <c r="I28" s="1"/>
  <c r="M28" s="1"/>
  <c r="D48" i="7"/>
  <c r="H30" i="9" s="1"/>
  <c r="I30" s="1"/>
  <c r="M30" s="1"/>
  <c r="D62" i="7"/>
  <c r="H44" i="9" s="1"/>
  <c r="I44" s="1"/>
  <c r="M44" s="1"/>
  <c r="D39" i="7"/>
  <c r="H21" i="9" s="1"/>
  <c r="I21" s="1"/>
  <c r="M21" s="1"/>
  <c r="D45" i="7"/>
  <c r="H27" i="9" s="1"/>
  <c r="I27" s="1"/>
  <c r="M27" s="1"/>
  <c r="D51" i="7"/>
  <c r="H33" i="9" s="1"/>
  <c r="I33" s="1"/>
  <c r="M33" s="1"/>
  <c r="D31" i="7"/>
  <c r="H13" i="9" s="1"/>
  <c r="I13" s="1"/>
  <c r="M13" s="1"/>
  <c r="D32" i="7"/>
  <c r="H14" i="9" s="1"/>
  <c r="I14" s="1"/>
  <c r="M14" s="1"/>
  <c r="D38" i="7"/>
  <c r="H20" i="9" s="1"/>
  <c r="I20" s="1"/>
  <c r="M20" s="1"/>
  <c r="D44" i="7"/>
  <c r="H26" i="9" s="1"/>
  <c r="I26" s="1"/>
  <c r="M26" s="1"/>
  <c r="D29" i="7"/>
  <c r="H11" i="9" s="1"/>
  <c r="I11" s="1"/>
  <c r="M11" s="1"/>
  <c r="D35" i="7"/>
  <c r="H17" i="9" s="1"/>
  <c r="I17" s="1"/>
  <c r="M17" s="1"/>
  <c r="D52" i="7"/>
  <c r="H34" i="9" s="1"/>
  <c r="I34" s="1"/>
  <c r="M34" s="1"/>
  <c r="D37" i="7"/>
  <c r="H19" i="9" s="1"/>
  <c r="I19" s="1"/>
  <c r="M19" s="1"/>
  <c r="D59" i="7"/>
  <c r="H41" i="9" s="1"/>
  <c r="I41" s="1"/>
  <c r="M41" s="1"/>
  <c r="D28" i="7"/>
  <c r="H10" i="9" s="1"/>
  <c r="I10" s="1"/>
  <c r="D34" i="7"/>
  <c r="H16" i="9" s="1"/>
  <c r="I16" s="1"/>
  <c r="M16" s="1"/>
  <c r="D56" i="7"/>
  <c r="H38" i="9" s="1"/>
  <c r="I38" s="1"/>
  <c r="M38" s="1"/>
  <c r="D41" i="7"/>
  <c r="H23" i="9" s="1"/>
  <c r="I23" s="1"/>
  <c r="M23" s="1"/>
  <c r="D42" i="7"/>
  <c r="H24" i="9" s="1"/>
  <c r="I24" s="1"/>
  <c r="M24" s="1"/>
  <c r="D64" i="7"/>
  <c r="H46" i="9" s="1"/>
  <c r="I46" s="1"/>
  <c r="M46" s="1"/>
  <c r="D49" i="7"/>
  <c r="H31" i="9" s="1"/>
  <c r="I31" s="1"/>
  <c r="M31" s="1"/>
  <c r="D55" i="7"/>
  <c r="H37" i="9" s="1"/>
  <c r="I37" s="1"/>
  <c r="M37" s="1"/>
  <c r="D61" i="7"/>
  <c r="H43" i="9" s="1"/>
  <c r="I43" s="1"/>
  <c r="M43" s="1"/>
  <c r="D50" i="7"/>
  <c r="H32" i="9" s="1"/>
  <c r="I32" s="1"/>
  <c r="M32" s="1"/>
  <c r="M17" i="7"/>
  <c r="Q59" i="8" s="1"/>
  <c r="R59" s="1"/>
  <c r="X59" s="1"/>
  <c r="M18" i="7"/>
  <c r="Q60" i="8" s="1"/>
  <c r="R60" s="1"/>
  <c r="X60" s="1"/>
  <c r="M6" i="7"/>
  <c r="Q48" i="8" s="1"/>
  <c r="R48" s="1"/>
  <c r="M10" i="7"/>
  <c r="Q52" i="8" s="1"/>
  <c r="R52" s="1"/>
  <c r="X52" s="1"/>
  <c r="M20" i="7"/>
  <c r="Q62" i="8" s="1"/>
  <c r="R62" s="1"/>
  <c r="X62" s="1"/>
  <c r="M8" i="7"/>
  <c r="Q50" i="8" s="1"/>
  <c r="R50" s="1"/>
  <c r="X50" s="1"/>
  <c r="M9" i="7"/>
  <c r="Q51" i="8" s="1"/>
  <c r="R51" s="1"/>
  <c r="X51" s="1"/>
  <c r="M13" i="7"/>
  <c r="Q55" i="8" s="1"/>
  <c r="R55" s="1"/>
  <c r="X55" s="1"/>
  <c r="M11" i="7"/>
  <c r="Q53" i="8" s="1"/>
  <c r="R53" s="1"/>
  <c r="X53" s="1"/>
  <c r="M12" i="7"/>
  <c r="Q54" i="8" s="1"/>
  <c r="R54" s="1"/>
  <c r="X54" s="1"/>
  <c r="M16" i="7"/>
  <c r="Q58" i="8" s="1"/>
  <c r="R58" s="1"/>
  <c r="X58" s="1"/>
  <c r="M14" i="7"/>
  <c r="Q56" i="8" s="1"/>
  <c r="R56" s="1"/>
  <c r="X56" s="1"/>
  <c r="M7" i="7"/>
  <c r="Q49" i="8" s="1"/>
  <c r="R49" s="1"/>
  <c r="X49" s="1"/>
  <c r="M15" i="7"/>
  <c r="Q57" i="8" s="1"/>
  <c r="R57" s="1"/>
  <c r="X57" s="1"/>
  <c r="M19" i="7"/>
  <c r="Q61" i="8" s="1"/>
  <c r="R61" s="1"/>
  <c r="X61" s="1"/>
  <c r="K59" i="7"/>
  <c r="E119" i="9" s="1"/>
  <c r="F119" s="1"/>
  <c r="K119" s="1"/>
  <c r="K49" i="7"/>
  <c r="E109" i="9" s="1"/>
  <c r="F109" s="1"/>
  <c r="K109" s="1"/>
  <c r="K39" i="7"/>
  <c r="E99" i="9" s="1"/>
  <c r="F99" s="1"/>
  <c r="K99" s="1"/>
  <c r="K29" i="7"/>
  <c r="E89" i="9" s="1"/>
  <c r="F89" s="1"/>
  <c r="K89" s="1"/>
  <c r="K60" i="7"/>
  <c r="E120" i="9" s="1"/>
  <c r="F120" s="1"/>
  <c r="K120" s="1"/>
  <c r="K46" i="7"/>
  <c r="E106" i="9" s="1"/>
  <c r="F106" s="1"/>
  <c r="K106" s="1"/>
  <c r="K40" i="7"/>
  <c r="E100" i="9" s="1"/>
  <c r="F100" s="1"/>
  <c r="K100" s="1"/>
  <c r="K63" i="7"/>
  <c r="E123" i="9" s="1"/>
  <c r="F123" s="1"/>
  <c r="K123" s="1"/>
  <c r="K53" i="7"/>
  <c r="E113" i="9" s="1"/>
  <c r="F113" s="1"/>
  <c r="K113" s="1"/>
  <c r="K38" i="7"/>
  <c r="E98" i="9" s="1"/>
  <c r="F98" s="1"/>
  <c r="K98" s="1"/>
  <c r="K48" i="7"/>
  <c r="E108" i="9" s="1"/>
  <c r="F108" s="1"/>
  <c r="K108" s="1"/>
  <c r="K50" i="7"/>
  <c r="E110" i="9" s="1"/>
  <c r="F110" s="1"/>
  <c r="K110" s="1"/>
  <c r="K35" i="7"/>
  <c r="E95" i="9" s="1"/>
  <c r="F95" s="1"/>
  <c r="K95" s="1"/>
  <c r="K41" i="7"/>
  <c r="E101" i="9" s="1"/>
  <c r="F101" s="1"/>
  <c r="K101" s="1"/>
  <c r="K47" i="7"/>
  <c r="E107" i="9" s="1"/>
  <c r="F107" s="1"/>
  <c r="K107" s="1"/>
  <c r="K32" i="7"/>
  <c r="E92" i="9" s="1"/>
  <c r="F92" s="1"/>
  <c r="K92" s="1"/>
  <c r="K43" i="7"/>
  <c r="E103" i="9" s="1"/>
  <c r="F103" s="1"/>
  <c r="K103" s="1"/>
  <c r="K28" i="7"/>
  <c r="E88" i="9" s="1"/>
  <c r="F88" s="1"/>
  <c r="K34" i="7"/>
  <c r="E94" i="9" s="1"/>
  <c r="F94" s="1"/>
  <c r="K94" s="1"/>
  <c r="K44" i="7"/>
  <c r="E104" i="9" s="1"/>
  <c r="F104" s="1"/>
  <c r="K104" s="1"/>
  <c r="K62" i="7"/>
  <c r="E122" i="9" s="1"/>
  <c r="F122" s="1"/>
  <c r="K122" s="1"/>
  <c r="K31" i="7"/>
  <c r="E91" i="9" s="1"/>
  <c r="F91" s="1"/>
  <c r="K91" s="1"/>
  <c r="K37" i="7"/>
  <c r="E97" i="9" s="1"/>
  <c r="F97" s="1"/>
  <c r="K97" s="1"/>
  <c r="K64" i="7"/>
  <c r="E124" i="9" s="1"/>
  <c r="F124" s="1"/>
  <c r="K124" s="1"/>
  <c r="K33" i="7"/>
  <c r="E93" i="9" s="1"/>
  <c r="F93" s="1"/>
  <c r="K93" s="1"/>
  <c r="K55" i="7"/>
  <c r="E115" i="9" s="1"/>
  <c r="F115" s="1"/>
  <c r="K115" s="1"/>
  <c r="K61" i="7"/>
  <c r="E121" i="9" s="1"/>
  <c r="F121" s="1"/>
  <c r="K121" s="1"/>
  <c r="K30" i="7"/>
  <c r="E90" i="9" s="1"/>
  <c r="F90" s="1"/>
  <c r="K90" s="1"/>
  <c r="K56" i="7"/>
  <c r="E116" i="9" s="1"/>
  <c r="F116" s="1"/>
  <c r="K116" s="1"/>
  <c r="K58" i="7"/>
  <c r="E118" i="9" s="1"/>
  <c r="F118" s="1"/>
  <c r="K118" s="1"/>
  <c r="K54" i="7"/>
  <c r="E114" i="9" s="1"/>
  <c r="F114" s="1"/>
  <c r="K114" s="1"/>
  <c r="K36" i="7"/>
  <c r="E96" i="9" s="1"/>
  <c r="F96" s="1"/>
  <c r="K96" s="1"/>
  <c r="K45" i="7"/>
  <c r="E105" i="9" s="1"/>
  <c r="F105" s="1"/>
  <c r="K105" s="1"/>
  <c r="K51" i="7"/>
  <c r="E111" i="9" s="1"/>
  <c r="F111" s="1"/>
  <c r="K111" s="1"/>
  <c r="K57" i="7"/>
  <c r="E117" i="9" s="1"/>
  <c r="F117" s="1"/>
  <c r="K117" s="1"/>
  <c r="K42" i="7"/>
  <c r="E102" i="9" s="1"/>
  <c r="F102" s="1"/>
  <c r="K102" s="1"/>
  <c r="K52" i="7"/>
  <c r="E112" i="9" s="1"/>
  <c r="F112" s="1"/>
  <c r="K112" s="1"/>
  <c r="L7" i="7"/>
  <c r="H49" i="8" s="1"/>
  <c r="I49" s="1"/>
  <c r="U49" s="1"/>
  <c r="L11" i="7"/>
  <c r="H53" i="8" s="1"/>
  <c r="I53" s="1"/>
  <c r="U53" s="1"/>
  <c r="L19" i="7"/>
  <c r="H61" i="8" s="1"/>
  <c r="I61" s="1"/>
  <c r="U61" s="1"/>
  <c r="L15" i="7"/>
  <c r="H57" i="8" s="1"/>
  <c r="I57" s="1"/>
  <c r="U57" s="1"/>
  <c r="L18" i="7"/>
  <c r="H60" i="8" s="1"/>
  <c r="I60" s="1"/>
  <c r="U60" s="1"/>
  <c r="L6" i="7"/>
  <c r="H48" i="8" s="1"/>
  <c r="I48" s="1"/>
  <c r="L10" i="7"/>
  <c r="H52" i="8" s="1"/>
  <c r="I52" s="1"/>
  <c r="U52" s="1"/>
  <c r="L14" i="7"/>
  <c r="H56" i="8" s="1"/>
  <c r="I56" s="1"/>
  <c r="U56" s="1"/>
  <c r="L8" i="7"/>
  <c r="H50" i="8" s="1"/>
  <c r="I50" s="1"/>
  <c r="U50" s="1"/>
  <c r="L9" i="7"/>
  <c r="H51" i="8" s="1"/>
  <c r="I51" s="1"/>
  <c r="U51" s="1"/>
  <c r="L13" i="7"/>
  <c r="H55" i="8" s="1"/>
  <c r="I55" s="1"/>
  <c r="U55" s="1"/>
  <c r="L17" i="7"/>
  <c r="H59" i="8" s="1"/>
  <c r="I59" s="1"/>
  <c r="U59" s="1"/>
  <c r="L12" i="7"/>
  <c r="H54" i="8" s="1"/>
  <c r="I54" s="1"/>
  <c r="U54" s="1"/>
  <c r="L16" i="7"/>
  <c r="H58" i="8" s="1"/>
  <c r="I58" s="1"/>
  <c r="U58" s="1"/>
  <c r="L20" i="7"/>
  <c r="H62" i="8" s="1"/>
  <c r="I62" s="1"/>
  <c r="U62" s="1"/>
  <c r="G43" i="7"/>
  <c r="E64" i="9" s="1"/>
  <c r="F64" s="1"/>
  <c r="K64" s="1"/>
  <c r="G33" i="7"/>
  <c r="E54" i="9" s="1"/>
  <c r="F54" s="1"/>
  <c r="K54" s="1"/>
  <c r="G56" i="7"/>
  <c r="E77" i="9" s="1"/>
  <c r="F77" s="1"/>
  <c r="K77" s="1"/>
  <c r="G50" i="7"/>
  <c r="E71" i="9" s="1"/>
  <c r="F71" s="1"/>
  <c r="K71" s="1"/>
  <c r="G48" i="7"/>
  <c r="E69" i="9" s="1"/>
  <c r="F69" s="1"/>
  <c r="K69" s="1"/>
  <c r="G30" i="7"/>
  <c r="E51" i="9" s="1"/>
  <c r="F51" s="1"/>
  <c r="K51" s="1"/>
  <c r="G57" i="7"/>
  <c r="E78" i="9" s="1"/>
  <c r="F78" s="1"/>
  <c r="K78" s="1"/>
  <c r="G47" i="7"/>
  <c r="E68" i="9" s="1"/>
  <c r="F68" s="1"/>
  <c r="K68" s="1"/>
  <c r="G37" i="7"/>
  <c r="E58" i="9" s="1"/>
  <c r="F58" s="1"/>
  <c r="K58" s="1"/>
  <c r="G64" i="7"/>
  <c r="E85" i="9" s="1"/>
  <c r="F85" s="1"/>
  <c r="G54" i="7"/>
  <c r="E75" i="9" s="1"/>
  <c r="F75" s="1"/>
  <c r="K75" s="1"/>
  <c r="G52" i="7"/>
  <c r="E73" i="9" s="1"/>
  <c r="F73" s="1"/>
  <c r="K73" s="1"/>
  <c r="G34" i="7"/>
  <c r="E55" i="9" s="1"/>
  <c r="F55" s="1"/>
  <c r="K55" s="1"/>
  <c r="G61" i="7"/>
  <c r="E82" i="9" s="1"/>
  <c r="F82" s="1"/>
  <c r="K82" s="1"/>
  <c r="G51" i="7"/>
  <c r="E72" i="9" s="1"/>
  <c r="F72" s="1"/>
  <c r="K72" s="1"/>
  <c r="G41" i="7"/>
  <c r="E62" i="9" s="1"/>
  <c r="F62" s="1"/>
  <c r="K62" s="1"/>
  <c r="G31" i="7"/>
  <c r="E52" i="9" s="1"/>
  <c r="F52" s="1"/>
  <c r="K52" s="1"/>
  <c r="G58" i="7"/>
  <c r="E79" i="9" s="1"/>
  <c r="F79" s="1"/>
  <c r="K79" s="1"/>
  <c r="G60" i="7"/>
  <c r="E81" i="9" s="1"/>
  <c r="F81" s="1"/>
  <c r="K81" s="1"/>
  <c r="G59" i="7"/>
  <c r="E80" i="9" s="1"/>
  <c r="F80" s="1"/>
  <c r="K80" s="1"/>
  <c r="G39" i="7"/>
  <c r="E60" i="9" s="1"/>
  <c r="F60" s="1"/>
  <c r="K60" s="1"/>
  <c r="G44" i="7"/>
  <c r="E65" i="9" s="1"/>
  <c r="F65" s="1"/>
  <c r="K65" s="1"/>
  <c r="G40" i="7"/>
  <c r="E61" i="9" s="1"/>
  <c r="F61" s="1"/>
  <c r="K61" s="1"/>
  <c r="G53" i="7"/>
  <c r="E74" i="9" s="1"/>
  <c r="F74" s="1"/>
  <c r="K74" s="1"/>
  <c r="G28" i="7"/>
  <c r="E49" i="9" s="1"/>
  <c r="F49" s="1"/>
  <c r="G45" i="7"/>
  <c r="E66" i="9" s="1"/>
  <c r="F66" s="1"/>
  <c r="K66" s="1"/>
  <c r="G62" i="7"/>
  <c r="E83" i="9" s="1"/>
  <c r="F83" s="1"/>
  <c r="K83" s="1"/>
  <c r="G42" i="7"/>
  <c r="E63" i="9" s="1"/>
  <c r="F63" s="1"/>
  <c r="K63" s="1"/>
  <c r="G49" i="7"/>
  <c r="E70" i="9" s="1"/>
  <c r="F70" s="1"/>
  <c r="K70" s="1"/>
  <c r="G29" i="7"/>
  <c r="E50" i="9" s="1"/>
  <c r="F50" s="1"/>
  <c r="K50" s="1"/>
  <c r="G46" i="7"/>
  <c r="E67" i="9" s="1"/>
  <c r="F67" s="1"/>
  <c r="K67" s="1"/>
  <c r="G63" i="7"/>
  <c r="E84" i="9" s="1"/>
  <c r="F84" s="1"/>
  <c r="K84" s="1"/>
  <c r="G38" i="7"/>
  <c r="E59" i="9" s="1"/>
  <c r="F59" s="1"/>
  <c r="K59" s="1"/>
  <c r="G55" i="7"/>
  <c r="E76" i="9" s="1"/>
  <c r="F76" s="1"/>
  <c r="K76" s="1"/>
  <c r="G35" i="7"/>
  <c r="E56" i="9" s="1"/>
  <c r="F56" s="1"/>
  <c r="K56" s="1"/>
  <c r="G32" i="7"/>
  <c r="E53" i="9" s="1"/>
  <c r="F53" s="1"/>
  <c r="K53" s="1"/>
  <c r="G36" i="7"/>
  <c r="E57" i="9" s="1"/>
  <c r="F57" s="1"/>
  <c r="K57" s="1"/>
  <c r="V11" i="7"/>
  <c r="V15"/>
  <c r="V12"/>
  <c r="V10"/>
  <c r="V14"/>
  <c r="V19"/>
  <c r="V7"/>
  <c r="V13"/>
  <c r="V17"/>
  <c r="V18"/>
  <c r="V6"/>
  <c r="V16"/>
  <c r="V20"/>
  <c r="V8"/>
  <c r="V9"/>
  <c r="W6"/>
  <c r="K31" i="8" s="1"/>
  <c r="L31" s="1"/>
  <c r="W10" i="7"/>
  <c r="K35" i="8" s="1"/>
  <c r="L35" s="1"/>
  <c r="V35" s="1"/>
  <c r="W14" i="7"/>
  <c r="K39" i="8" s="1"/>
  <c r="L39" s="1"/>
  <c r="V39" s="1"/>
  <c r="W19" i="7"/>
  <c r="K44" i="8" s="1"/>
  <c r="L44" s="1"/>
  <c r="V44" s="1"/>
  <c r="W9" i="7"/>
  <c r="K34" i="8" s="1"/>
  <c r="L34" s="1"/>
  <c r="V34" s="1"/>
  <c r="W13" i="7"/>
  <c r="K38" i="8" s="1"/>
  <c r="L38" s="1"/>
  <c r="V38" s="1"/>
  <c r="W17" i="7"/>
  <c r="K42" i="8" s="1"/>
  <c r="L42" s="1"/>
  <c r="V42" s="1"/>
  <c r="W18" i="7"/>
  <c r="K43" i="8" s="1"/>
  <c r="L43" s="1"/>
  <c r="V43" s="1"/>
  <c r="W11" i="7"/>
  <c r="K36" i="8" s="1"/>
  <c r="L36" s="1"/>
  <c r="V36" s="1"/>
  <c r="W16" i="7"/>
  <c r="K41" i="8" s="1"/>
  <c r="L41" s="1"/>
  <c r="V41" s="1"/>
  <c r="W8" i="7"/>
  <c r="K33" i="8" s="1"/>
  <c r="L33" s="1"/>
  <c r="V33" s="1"/>
  <c r="W7" i="7"/>
  <c r="K32" i="8" s="1"/>
  <c r="L32" s="1"/>
  <c r="V32" s="1"/>
  <c r="W15" i="7"/>
  <c r="K40" i="8" s="1"/>
  <c r="L40" s="1"/>
  <c r="V40" s="1"/>
  <c r="W12" i="7"/>
  <c r="K37" i="8" s="1"/>
  <c r="L37" s="1"/>
  <c r="V37" s="1"/>
  <c r="W20" i="7"/>
  <c r="K45" i="8" s="1"/>
  <c r="L45" s="1"/>
  <c r="V45" s="1"/>
  <c r="AA8" i="7"/>
  <c r="K67" i="8" s="1"/>
  <c r="L67" s="1"/>
  <c r="V67" s="1"/>
  <c r="AA9" i="7"/>
  <c r="K68" i="8" s="1"/>
  <c r="L68" s="1"/>
  <c r="V68" s="1"/>
  <c r="AA13" i="7"/>
  <c r="K72" i="8" s="1"/>
  <c r="L72" s="1"/>
  <c r="V72" s="1"/>
  <c r="AA17" i="7"/>
  <c r="K76" i="8" s="1"/>
  <c r="L76" s="1"/>
  <c r="V76" s="1"/>
  <c r="AA12" i="7"/>
  <c r="K71" i="8" s="1"/>
  <c r="L71" s="1"/>
  <c r="V71" s="1"/>
  <c r="AA16" i="7"/>
  <c r="K75" i="8" s="1"/>
  <c r="L75" s="1"/>
  <c r="V75" s="1"/>
  <c r="AA20" i="7"/>
  <c r="K79" i="8" s="1"/>
  <c r="L79" s="1"/>
  <c r="V79" s="1"/>
  <c r="AA19" i="7"/>
  <c r="K78" i="8" s="1"/>
  <c r="L78" s="1"/>
  <c r="V78" s="1"/>
  <c r="AA7" i="7"/>
  <c r="K66" i="8" s="1"/>
  <c r="L66" s="1"/>
  <c r="V66" s="1"/>
  <c r="AA11" i="7"/>
  <c r="K70" i="8" s="1"/>
  <c r="L70" s="1"/>
  <c r="V70" s="1"/>
  <c r="AA15" i="7"/>
  <c r="K74" i="8" s="1"/>
  <c r="L74" s="1"/>
  <c r="V74" s="1"/>
  <c r="AA18" i="7"/>
  <c r="K77" i="8" s="1"/>
  <c r="L77" s="1"/>
  <c r="V77" s="1"/>
  <c r="AA6" i="7"/>
  <c r="K65" i="8" s="1"/>
  <c r="L65" s="1"/>
  <c r="AA10" i="7"/>
  <c r="K69" i="8" s="1"/>
  <c r="L69" s="1"/>
  <c r="V69" s="1"/>
  <c r="AA14" i="7"/>
  <c r="K73" i="8" s="1"/>
  <c r="L73" s="1"/>
  <c r="V73" s="1"/>
  <c r="I10" i="7"/>
  <c r="E69" i="8" s="1"/>
  <c r="F69" s="1"/>
  <c r="T69" s="1"/>
  <c r="I17" i="7"/>
  <c r="E76" i="8" s="1"/>
  <c r="F76" s="1"/>
  <c r="T76" s="1"/>
  <c r="I13" i="7"/>
  <c r="E72" i="8" s="1"/>
  <c r="F72" s="1"/>
  <c r="T72" s="1"/>
  <c r="I8" i="7"/>
  <c r="E67" i="8" s="1"/>
  <c r="F67" s="1"/>
  <c r="T67" s="1"/>
  <c r="I11" i="7"/>
  <c r="E70" i="8" s="1"/>
  <c r="F70" s="1"/>
  <c r="T70" s="1"/>
  <c r="I14" i="7"/>
  <c r="E73" i="8" s="1"/>
  <c r="F73" s="1"/>
  <c r="T73" s="1"/>
  <c r="I15" i="7"/>
  <c r="E74" i="8" s="1"/>
  <c r="F74" s="1"/>
  <c r="T74" s="1"/>
  <c r="I20" i="7"/>
  <c r="E79" i="8" s="1"/>
  <c r="F79" s="1"/>
  <c r="T79" s="1"/>
  <c r="I19" i="7"/>
  <c r="E78" i="8" s="1"/>
  <c r="F78" s="1"/>
  <c r="T78" s="1"/>
  <c r="I12" i="7"/>
  <c r="E71" i="8" s="1"/>
  <c r="F71" s="1"/>
  <c r="T71" s="1"/>
  <c r="I6" i="7"/>
  <c r="E65" i="8" s="1"/>
  <c r="F65" s="1"/>
  <c r="I16" i="7"/>
  <c r="E75" i="8" s="1"/>
  <c r="F75" s="1"/>
  <c r="T75" s="1"/>
  <c r="I9" i="7"/>
  <c r="E68" i="8" s="1"/>
  <c r="F68" s="1"/>
  <c r="T68" s="1"/>
  <c r="I7" i="7"/>
  <c r="E66" i="8" s="1"/>
  <c r="F66" s="1"/>
  <c r="T66" s="1"/>
  <c r="I18" i="7"/>
  <c r="E77" i="8" s="1"/>
  <c r="F77" s="1"/>
  <c r="T77" s="1"/>
  <c r="J13" i="7"/>
  <c r="N72" i="8" s="1"/>
  <c r="O72" s="1"/>
  <c r="W72" s="1"/>
  <c r="J9" i="7"/>
  <c r="N68" i="8" s="1"/>
  <c r="O68" s="1"/>
  <c r="W68" s="1"/>
  <c r="J8" i="7"/>
  <c r="N67" i="8" s="1"/>
  <c r="O67" s="1"/>
  <c r="W67" s="1"/>
  <c r="J20" i="7"/>
  <c r="N79" i="8" s="1"/>
  <c r="O79" s="1"/>
  <c r="W79" s="1"/>
  <c r="J12" i="7"/>
  <c r="N71" i="8" s="1"/>
  <c r="O71" s="1"/>
  <c r="W71" s="1"/>
  <c r="J19" i="7"/>
  <c r="N78" i="8" s="1"/>
  <c r="O78" s="1"/>
  <c r="W78" s="1"/>
  <c r="J10" i="7"/>
  <c r="N69" i="8" s="1"/>
  <c r="O69" s="1"/>
  <c r="W69" s="1"/>
  <c r="J15" i="7"/>
  <c r="N74" i="8" s="1"/>
  <c r="O74" s="1"/>
  <c r="W74" s="1"/>
  <c r="J18" i="7"/>
  <c r="N77" i="8" s="1"/>
  <c r="O77" s="1"/>
  <c r="W77" s="1"/>
  <c r="J7" i="7"/>
  <c r="N66" i="8" s="1"/>
  <c r="O66" s="1"/>
  <c r="W66" s="1"/>
  <c r="J6" i="7"/>
  <c r="N65" i="8" s="1"/>
  <c r="O65" s="1"/>
  <c r="J11" i="7"/>
  <c r="N70" i="8" s="1"/>
  <c r="O70" s="1"/>
  <c r="W70" s="1"/>
  <c r="J16" i="7"/>
  <c r="N75" i="8" s="1"/>
  <c r="O75" s="1"/>
  <c r="W75" s="1"/>
  <c r="J14" i="7"/>
  <c r="N73" i="8" s="1"/>
  <c r="O73" s="1"/>
  <c r="W73" s="1"/>
  <c r="J17" i="7"/>
  <c r="N76" i="8" s="1"/>
  <c r="O76" s="1"/>
  <c r="W76" s="1"/>
  <c r="Q7" i="7"/>
  <c r="Q13" i="8" s="1"/>
  <c r="R13" s="1"/>
  <c r="X13" s="1"/>
  <c r="Q11" i="7"/>
  <c r="Q17" i="8" s="1"/>
  <c r="R17" s="1"/>
  <c r="X17" s="1"/>
  <c r="Q15" i="7"/>
  <c r="Q21" i="8" s="1"/>
  <c r="R21" s="1"/>
  <c r="X21" s="1"/>
  <c r="Q19" i="7"/>
  <c r="Q25" i="8" s="1"/>
  <c r="R25" s="1"/>
  <c r="X25" s="1"/>
  <c r="Q6" i="7"/>
  <c r="Q12" i="8" s="1"/>
  <c r="R12" s="1"/>
  <c r="Q10" i="7"/>
  <c r="Q16" i="8" s="1"/>
  <c r="R16" s="1"/>
  <c r="X16" s="1"/>
  <c r="Q14" i="7"/>
  <c r="Q20" i="8" s="1"/>
  <c r="R20" s="1"/>
  <c r="X20" s="1"/>
  <c r="Q18" i="7"/>
  <c r="Q24" i="8" s="1"/>
  <c r="R24" s="1"/>
  <c r="X24" s="1"/>
  <c r="Q12" i="7"/>
  <c r="Q18" i="8" s="1"/>
  <c r="R18" s="1"/>
  <c r="X18" s="1"/>
  <c r="Q20" i="7"/>
  <c r="Q26" i="8" s="1"/>
  <c r="R26" s="1"/>
  <c r="X26" s="1"/>
  <c r="Q17" i="7"/>
  <c r="Q23" i="8" s="1"/>
  <c r="R23" s="1"/>
  <c r="X23" s="1"/>
  <c r="Q13" i="7"/>
  <c r="Q19" i="8" s="1"/>
  <c r="R19" s="1"/>
  <c r="X19" s="1"/>
  <c r="Q8" i="7"/>
  <c r="Q14" i="8" s="1"/>
  <c r="R14" s="1"/>
  <c r="X14" s="1"/>
  <c r="Q16" i="7"/>
  <c r="Q22" i="8" s="1"/>
  <c r="R22" s="1"/>
  <c r="X22" s="1"/>
  <c r="Q22" i="7"/>
  <c r="Q28" i="8" s="1"/>
  <c r="R28" s="1"/>
  <c r="X28" s="1"/>
  <c r="Q9" i="7"/>
  <c r="Q15" i="8" s="1"/>
  <c r="R15" s="1"/>
  <c r="X15" s="1"/>
  <c r="Q21" i="7"/>
  <c r="Q27" i="8" s="1"/>
  <c r="R27" s="1"/>
  <c r="X27" s="1"/>
  <c r="H6" i="7"/>
  <c r="N12" i="8" s="1"/>
  <c r="O12" s="1"/>
  <c r="H7" i="7"/>
  <c r="N13" i="8" s="1"/>
  <c r="O13" s="1"/>
  <c r="W13" s="1"/>
  <c r="H14" i="7"/>
  <c r="N20" i="8" s="1"/>
  <c r="O20" s="1"/>
  <c r="W20" s="1"/>
  <c r="H19" i="7"/>
  <c r="N25" i="8" s="1"/>
  <c r="O25" s="1"/>
  <c r="W25" s="1"/>
  <c r="H15" i="7"/>
  <c r="N21" i="8" s="1"/>
  <c r="O21" s="1"/>
  <c r="W21" s="1"/>
  <c r="H11" i="7"/>
  <c r="N17" i="8" s="1"/>
  <c r="O17" s="1"/>
  <c r="W17" s="1"/>
  <c r="H20" i="7"/>
  <c r="N26" i="8" s="1"/>
  <c r="O26" s="1"/>
  <c r="W26" s="1"/>
  <c r="H16" i="7"/>
  <c r="N22" i="8" s="1"/>
  <c r="O22" s="1"/>
  <c r="W22" s="1"/>
  <c r="H12" i="7"/>
  <c r="N18" i="8" s="1"/>
  <c r="O18" s="1"/>
  <c r="W18" s="1"/>
  <c r="H8" i="7"/>
  <c r="N14" i="8" s="1"/>
  <c r="O14" s="1"/>
  <c r="W14" s="1"/>
  <c r="H21" i="7"/>
  <c r="N27" i="8" s="1"/>
  <c r="O27" s="1"/>
  <c r="W27" s="1"/>
  <c r="H17" i="7"/>
  <c r="N23" i="8" s="1"/>
  <c r="O23" s="1"/>
  <c r="W23" s="1"/>
  <c r="H13" i="7"/>
  <c r="N19" i="8" s="1"/>
  <c r="O19" s="1"/>
  <c r="W19" s="1"/>
  <c r="H9" i="7"/>
  <c r="N15" i="8" s="1"/>
  <c r="O15" s="1"/>
  <c r="W15" s="1"/>
  <c r="H22" i="7"/>
  <c r="N28" i="8" s="1"/>
  <c r="O28" s="1"/>
  <c r="W28" s="1"/>
  <c r="H18" i="7"/>
  <c r="N24" i="8" s="1"/>
  <c r="O24" s="1"/>
  <c r="W24" s="1"/>
  <c r="H10" i="7"/>
  <c r="N16" i="8" s="1"/>
  <c r="O16" s="1"/>
  <c r="W16" s="1"/>
  <c r="U20" i="7"/>
  <c r="K62" i="8" s="1"/>
  <c r="L62" s="1"/>
  <c r="V62" s="1"/>
  <c r="U8" i="7"/>
  <c r="K50" i="8" s="1"/>
  <c r="L50" s="1"/>
  <c r="V50" s="1"/>
  <c r="U9" i="7"/>
  <c r="K51" i="8" s="1"/>
  <c r="L51" s="1"/>
  <c r="V51" s="1"/>
  <c r="U13" i="7"/>
  <c r="K55" i="8" s="1"/>
  <c r="L55" s="1"/>
  <c r="V55" s="1"/>
  <c r="U15" i="7"/>
  <c r="K57" i="8" s="1"/>
  <c r="L57" s="1"/>
  <c r="V57" s="1"/>
  <c r="U12" i="7"/>
  <c r="K54" i="8" s="1"/>
  <c r="L54" s="1"/>
  <c r="V54" s="1"/>
  <c r="U16" i="7"/>
  <c r="K58" i="8" s="1"/>
  <c r="L58" s="1"/>
  <c r="V58" s="1"/>
  <c r="U18" i="7"/>
  <c r="K60" i="8" s="1"/>
  <c r="L60" s="1"/>
  <c r="V60" s="1"/>
  <c r="U19" i="7"/>
  <c r="K61" i="8" s="1"/>
  <c r="L61" s="1"/>
  <c r="V61" s="1"/>
  <c r="U7" i="7"/>
  <c r="K49" i="8" s="1"/>
  <c r="L49" s="1"/>
  <c r="V49" s="1"/>
  <c r="U11" i="7"/>
  <c r="K53" i="8" s="1"/>
  <c r="L53" s="1"/>
  <c r="V53" s="1"/>
  <c r="U17" i="7"/>
  <c r="K59" i="8" s="1"/>
  <c r="L59" s="1"/>
  <c r="V59" s="1"/>
  <c r="U14" i="7"/>
  <c r="K56" i="8" s="1"/>
  <c r="L56" s="1"/>
  <c r="V56" s="1"/>
  <c r="U6" i="7"/>
  <c r="K48" i="8" s="1"/>
  <c r="L48" s="1"/>
  <c r="U10" i="7"/>
  <c r="K52" i="8" s="1"/>
  <c r="L52" s="1"/>
  <c r="V52" s="1"/>
  <c r="F10" i="7"/>
  <c r="N35" i="8" s="1"/>
  <c r="O35" s="1"/>
  <c r="W35" s="1"/>
  <c r="F17" i="7"/>
  <c r="N42" i="8" s="1"/>
  <c r="O42" s="1"/>
  <c r="W42" s="1"/>
  <c r="F13" i="7"/>
  <c r="N38" i="8" s="1"/>
  <c r="O38" s="1"/>
  <c r="W38" s="1"/>
  <c r="F11" i="7"/>
  <c r="N36" i="8" s="1"/>
  <c r="O36" s="1"/>
  <c r="W36" s="1"/>
  <c r="F6" i="7"/>
  <c r="N31" i="8" s="1"/>
  <c r="O31" s="1"/>
  <c r="F18" i="7"/>
  <c r="N43" i="8" s="1"/>
  <c r="O43" s="1"/>
  <c r="W43" s="1"/>
  <c r="F14" i="7"/>
  <c r="N39" i="8" s="1"/>
  <c r="O39" s="1"/>
  <c r="W39" s="1"/>
  <c r="F8" i="7"/>
  <c r="N33" i="8" s="1"/>
  <c r="O33" s="1"/>
  <c r="W33" s="1"/>
  <c r="F16" i="7"/>
  <c r="N41" i="8" s="1"/>
  <c r="O41" s="1"/>
  <c r="W41" s="1"/>
  <c r="F12" i="7"/>
  <c r="N37" i="8" s="1"/>
  <c r="O37" s="1"/>
  <c r="W37" s="1"/>
  <c r="F19" i="7"/>
  <c r="N44" i="8" s="1"/>
  <c r="O44" s="1"/>
  <c r="W44" s="1"/>
  <c r="F9" i="7"/>
  <c r="N34" i="8" s="1"/>
  <c r="O34" s="1"/>
  <c r="W34" s="1"/>
  <c r="F20" i="7"/>
  <c r="N45" i="8" s="1"/>
  <c r="O45" s="1"/>
  <c r="W45" s="1"/>
  <c r="F7" i="7"/>
  <c r="N32" i="8" s="1"/>
  <c r="O32" s="1"/>
  <c r="W32" s="1"/>
  <c r="F15" i="7"/>
  <c r="N40" i="8" s="1"/>
  <c r="O40" s="1"/>
  <c r="W40" s="1"/>
  <c r="C16" i="7"/>
  <c r="E58" i="8" s="1"/>
  <c r="F58" s="1"/>
  <c r="T58" s="1"/>
  <c r="C12" i="7"/>
  <c r="E54" i="8" s="1"/>
  <c r="F54" s="1"/>
  <c r="T54" s="1"/>
  <c r="C7" i="7"/>
  <c r="E49" i="8" s="1"/>
  <c r="F49" s="1"/>
  <c r="T49" s="1"/>
  <c r="C19" i="7"/>
  <c r="E61" i="8" s="1"/>
  <c r="F61" s="1"/>
  <c r="T61" s="1"/>
  <c r="C13" i="7"/>
  <c r="E55" i="8" s="1"/>
  <c r="F55" s="1"/>
  <c r="T55" s="1"/>
  <c r="C9" i="7"/>
  <c r="E51" i="8" s="1"/>
  <c r="F51" s="1"/>
  <c r="T51" s="1"/>
  <c r="C8" i="7"/>
  <c r="E50" i="8" s="1"/>
  <c r="F50" s="1"/>
  <c r="T50" s="1"/>
  <c r="C20" i="7"/>
  <c r="E62" i="8" s="1"/>
  <c r="F62" s="1"/>
  <c r="T62" s="1"/>
  <c r="C6" i="7"/>
  <c r="E48" i="8" s="1"/>
  <c r="F48" s="1"/>
  <c r="C14" i="7"/>
  <c r="E56" i="8" s="1"/>
  <c r="F56" s="1"/>
  <c r="T56" s="1"/>
  <c r="C17" i="7"/>
  <c r="E59" i="8" s="1"/>
  <c r="F59" s="1"/>
  <c r="T59" s="1"/>
  <c r="C15" i="7"/>
  <c r="E57" i="8" s="1"/>
  <c r="F57" s="1"/>
  <c r="T57" s="1"/>
  <c r="C11" i="7"/>
  <c r="E53" i="8" s="1"/>
  <c r="F53" s="1"/>
  <c r="T53" s="1"/>
  <c r="C10" i="7"/>
  <c r="E52" i="8" s="1"/>
  <c r="F52" s="1"/>
  <c r="T52" s="1"/>
  <c r="C18" i="7"/>
  <c r="E60" i="8" s="1"/>
  <c r="F60" s="1"/>
  <c r="T60" s="1"/>
  <c r="D19" i="7"/>
  <c r="N61" i="8" s="1"/>
  <c r="O61" s="1"/>
  <c r="W61" s="1"/>
  <c r="D15" i="7"/>
  <c r="N57" i="8" s="1"/>
  <c r="O57" s="1"/>
  <c r="W57" s="1"/>
  <c r="D11" i="7"/>
  <c r="N53" i="8" s="1"/>
  <c r="O53" s="1"/>
  <c r="W53" s="1"/>
  <c r="D14" i="7"/>
  <c r="N56" i="8" s="1"/>
  <c r="O56" s="1"/>
  <c r="W56" s="1"/>
  <c r="D20" i="7"/>
  <c r="N62" i="8" s="1"/>
  <c r="O62" s="1"/>
  <c r="W62" s="1"/>
  <c r="D16" i="7"/>
  <c r="N58" i="8" s="1"/>
  <c r="O58" s="1"/>
  <c r="W58" s="1"/>
  <c r="D12" i="7"/>
  <c r="N54" i="8" s="1"/>
  <c r="O54" s="1"/>
  <c r="W54" s="1"/>
  <c r="D7" i="7"/>
  <c r="N49" i="8" s="1"/>
  <c r="O49" s="1"/>
  <c r="W49" s="1"/>
  <c r="D17" i="7"/>
  <c r="N59" i="8" s="1"/>
  <c r="O59" s="1"/>
  <c r="W59" s="1"/>
  <c r="D13" i="7"/>
  <c r="N55" i="8" s="1"/>
  <c r="O55" s="1"/>
  <c r="W55" s="1"/>
  <c r="D9" i="7"/>
  <c r="N51" i="8" s="1"/>
  <c r="O51" s="1"/>
  <c r="W51" s="1"/>
  <c r="D8" i="7"/>
  <c r="N50" i="8" s="1"/>
  <c r="O50" s="1"/>
  <c r="W50" s="1"/>
  <c r="D6" i="7"/>
  <c r="N48" i="8" s="1"/>
  <c r="O48" s="1"/>
  <c r="D18" i="7"/>
  <c r="N60" i="8" s="1"/>
  <c r="O60" s="1"/>
  <c r="W60" s="1"/>
  <c r="D10" i="7"/>
  <c r="N52" i="8" s="1"/>
  <c r="O52" s="1"/>
  <c r="W52" s="1"/>
  <c r="C31" i="7"/>
  <c r="E13" i="9" s="1"/>
  <c r="F13" s="1"/>
  <c r="K13" s="1"/>
  <c r="C58" i="7"/>
  <c r="E40" i="9" s="1"/>
  <c r="F40" s="1"/>
  <c r="K40" s="1"/>
  <c r="C56" i="7"/>
  <c r="E38" i="9" s="1"/>
  <c r="F38" s="1"/>
  <c r="K38" s="1"/>
  <c r="C38" i="7"/>
  <c r="E20" i="9" s="1"/>
  <c r="F20" s="1"/>
  <c r="K20" s="1"/>
  <c r="C28" i="7"/>
  <c r="E10" i="9" s="1"/>
  <c r="F10" s="1"/>
  <c r="C55" i="7"/>
  <c r="E37" i="9" s="1"/>
  <c r="F37" s="1"/>
  <c r="K37" s="1"/>
  <c r="C45" i="7"/>
  <c r="E27" i="9" s="1"/>
  <c r="F27" s="1"/>
  <c r="K27" s="1"/>
  <c r="C35" i="7"/>
  <c r="E17" i="9" s="1"/>
  <c r="F17" s="1"/>
  <c r="K17" s="1"/>
  <c r="C62" i="7"/>
  <c r="E44" i="9" s="1"/>
  <c r="F44" s="1"/>
  <c r="K44" s="1"/>
  <c r="C60" i="7"/>
  <c r="E42" i="9" s="1"/>
  <c r="F42" s="1"/>
  <c r="K42" s="1"/>
  <c r="C43" i="7"/>
  <c r="E25" i="9" s="1"/>
  <c r="F25" s="1"/>
  <c r="K25" s="1"/>
  <c r="C42" i="7"/>
  <c r="E24" i="9" s="1"/>
  <c r="F24" s="1"/>
  <c r="K24" s="1"/>
  <c r="C48" i="7"/>
  <c r="E30" i="9" s="1"/>
  <c r="F30" s="1"/>
  <c r="K30" s="1"/>
  <c r="C33" i="7"/>
  <c r="E15" i="9" s="1"/>
  <c r="F15" s="1"/>
  <c r="K15" s="1"/>
  <c r="C39" i="7"/>
  <c r="E21" i="9" s="1"/>
  <c r="F21" s="1"/>
  <c r="K21" s="1"/>
  <c r="C61" i="7"/>
  <c r="E43" i="9" s="1"/>
  <c r="F43" s="1"/>
  <c r="K43" s="1"/>
  <c r="C30" i="7"/>
  <c r="E12" i="9" s="1"/>
  <c r="F12" s="1"/>
  <c r="K12" s="1"/>
  <c r="C40" i="7"/>
  <c r="E22" i="9" s="1"/>
  <c r="F22" s="1"/>
  <c r="K22" s="1"/>
  <c r="C63" i="7"/>
  <c r="E45" i="9" s="1"/>
  <c r="F45" s="1"/>
  <c r="K45" s="1"/>
  <c r="C36" i="7"/>
  <c r="E18" i="9" s="1"/>
  <c r="F18" s="1"/>
  <c r="K18" s="1"/>
  <c r="C54" i="7"/>
  <c r="E36" i="9" s="1"/>
  <c r="F36" s="1"/>
  <c r="K36" s="1"/>
  <c r="C32" i="7"/>
  <c r="E14" i="9" s="1"/>
  <c r="F14" s="1"/>
  <c r="K14" s="1"/>
  <c r="C29" i="7"/>
  <c r="E11" i="9" s="1"/>
  <c r="F11" s="1"/>
  <c r="K11" s="1"/>
  <c r="C51" i="7"/>
  <c r="E33" i="9" s="1"/>
  <c r="F33" s="1"/>
  <c r="K33" s="1"/>
  <c r="C57" i="7"/>
  <c r="E39" i="9" s="1"/>
  <c r="F39" s="1"/>
  <c r="K39" s="1"/>
  <c r="C47" i="7"/>
  <c r="E29" i="9" s="1"/>
  <c r="F29" s="1"/>
  <c r="K29" s="1"/>
  <c r="C53" i="7"/>
  <c r="E35" i="9" s="1"/>
  <c r="F35" s="1"/>
  <c r="K35" s="1"/>
  <c r="C59" i="7"/>
  <c r="E41" i="9" s="1"/>
  <c r="F41" s="1"/>
  <c r="K41" s="1"/>
  <c r="C52" i="7"/>
  <c r="E34" i="9" s="1"/>
  <c r="F34" s="1"/>
  <c r="K34" s="1"/>
  <c r="C50" i="7"/>
  <c r="E32" i="9" s="1"/>
  <c r="F32" s="1"/>
  <c r="K32" s="1"/>
  <c r="C64" i="7"/>
  <c r="E46" i="9" s="1"/>
  <c r="F46" s="1"/>
  <c r="K46" s="1"/>
  <c r="C41" i="7"/>
  <c r="E23" i="9" s="1"/>
  <c r="F23" s="1"/>
  <c r="K23" s="1"/>
  <c r="C37" i="7"/>
  <c r="E19" i="9" s="1"/>
  <c r="F19" s="1"/>
  <c r="K19" s="1"/>
  <c r="C49" i="7"/>
  <c r="E31" i="9" s="1"/>
  <c r="F31" s="1"/>
  <c r="K31" s="1"/>
  <c r="C34" i="7"/>
  <c r="E16" i="9" s="1"/>
  <c r="F16" s="1"/>
  <c r="K16" s="1"/>
  <c r="C44" i="7"/>
  <c r="E26" i="9" s="1"/>
  <c r="F26" s="1"/>
  <c r="K26" s="1"/>
  <c r="C46" i="7"/>
  <c r="E28" i="9" s="1"/>
  <c r="F28" s="1"/>
  <c r="K28" s="1"/>
  <c r="J4" i="1"/>
  <c r="F7" i="12" s="1"/>
  <c r="J6" i="1"/>
  <c r="F9" i="12" s="1"/>
  <c r="J5" i="1"/>
  <c r="F8" i="12" s="1"/>
  <c r="J7" i="1"/>
  <c r="F10" i="12" s="1"/>
  <c r="L6" i="8" l="1"/>
  <c r="W31"/>
  <c r="M6"/>
  <c r="N16" i="12" s="1"/>
  <c r="M5" i="8"/>
  <c r="N15" i="12" s="1"/>
  <c r="L5" i="8"/>
  <c r="W12"/>
  <c r="C7" i="9"/>
  <c r="D7"/>
  <c r="E25" i="12" s="1"/>
  <c r="K88" i="9"/>
  <c r="D6" i="8"/>
  <c r="E16" i="12" s="1"/>
  <c r="T31" i="8"/>
  <c r="C6"/>
  <c r="X65"/>
  <c r="P8"/>
  <c r="Q18" i="12" s="1"/>
  <c r="O8" i="8"/>
  <c r="C5" i="9"/>
  <c r="D5"/>
  <c r="E23" i="12" s="1"/>
  <c r="K10" i="9"/>
  <c r="D7" i="8"/>
  <c r="E17" i="12" s="1"/>
  <c r="G7" i="8"/>
  <c r="H17" i="12" s="1"/>
  <c r="U48" i="8"/>
  <c r="F7"/>
  <c r="F6" i="9"/>
  <c r="M49"/>
  <c r="G6"/>
  <c r="H24" i="12" s="1"/>
  <c r="U65" i="8"/>
  <c r="G8"/>
  <c r="H18" i="12" s="1"/>
  <c r="D8" i="8"/>
  <c r="E18" i="12" s="1"/>
  <c r="F8" i="8"/>
  <c r="L7"/>
  <c r="M7"/>
  <c r="N17" i="12" s="1"/>
  <c r="W48" i="8"/>
  <c r="V48"/>
  <c r="I7"/>
  <c r="J7"/>
  <c r="K17" i="12" s="1"/>
  <c r="L8" i="8"/>
  <c r="W65"/>
  <c r="M8"/>
  <c r="N18" i="12" s="1"/>
  <c r="J8" i="8"/>
  <c r="K18" i="12" s="1"/>
  <c r="V65" i="8"/>
  <c r="I8"/>
  <c r="O7"/>
  <c r="P7"/>
  <c r="Q17" i="12" s="1"/>
  <c r="X48" i="8"/>
  <c r="F5" i="9"/>
  <c r="M10"/>
  <c r="G5"/>
  <c r="H23" i="12" s="1"/>
  <c r="D5" i="8"/>
  <c r="E15" i="12" s="1"/>
  <c r="T12" i="8"/>
  <c r="C5"/>
  <c r="F7" i="9"/>
  <c r="G7"/>
  <c r="H25" i="12" s="1"/>
  <c r="M88" i="9"/>
  <c r="F5" i="8"/>
  <c r="G5"/>
  <c r="H15" i="12" s="1"/>
  <c r="U12" i="8"/>
  <c r="T48"/>
  <c r="C7"/>
  <c r="O5"/>
  <c r="P5"/>
  <c r="Q15" i="12" s="1"/>
  <c r="X12" i="8"/>
  <c r="C8"/>
  <c r="T65"/>
  <c r="J6"/>
  <c r="K16" i="12" s="1"/>
  <c r="V31" i="8"/>
  <c r="I6"/>
  <c r="K49" i="9"/>
  <c r="C6"/>
  <c r="D6"/>
  <c r="E24" i="12" s="1"/>
  <c r="J5" i="8"/>
  <c r="K15" i="12" s="1"/>
  <c r="I5" i="8"/>
  <c r="V12"/>
  <c r="U31"/>
  <c r="G6"/>
  <c r="H16" i="12" s="1"/>
  <c r="F6" i="8"/>
  <c r="X31"/>
  <c r="P6"/>
  <c r="Q16" i="12" s="1"/>
  <c r="O6" i="8"/>
  <c r="H5" i="9" l="1"/>
  <c r="I23" i="12" s="1"/>
  <c r="G23"/>
  <c r="K8" i="8"/>
  <c r="L18" i="12" s="1"/>
  <c r="J18"/>
  <c r="H8" i="8"/>
  <c r="I18" i="12" s="1"/>
  <c r="G18"/>
  <c r="N5" i="8"/>
  <c r="O15" i="12" s="1"/>
  <c r="M15"/>
  <c r="N6" i="8"/>
  <c r="O16" i="12" s="1"/>
  <c r="M16"/>
  <c r="J15"/>
  <c r="K5" i="8"/>
  <c r="L15" i="12" s="1"/>
  <c r="G25"/>
  <c r="H7" i="9"/>
  <c r="I25" i="12" s="1"/>
  <c r="Q6" i="8"/>
  <c r="R16" i="12" s="1"/>
  <c r="P16"/>
  <c r="K6" i="8"/>
  <c r="L16" i="12" s="1"/>
  <c r="J16"/>
  <c r="D18"/>
  <c r="E8" i="8"/>
  <c r="F18" i="12" s="1"/>
  <c r="E7" i="8"/>
  <c r="F17" i="12" s="1"/>
  <c r="D17"/>
  <c r="H5" i="8"/>
  <c r="I15" i="12" s="1"/>
  <c r="G15"/>
  <c r="E5" i="8"/>
  <c r="F15" i="12" s="1"/>
  <c r="D15"/>
  <c r="P17"/>
  <c r="Q7" i="8"/>
  <c r="R17" i="12" s="1"/>
  <c r="K7" i="8"/>
  <c r="L17" i="12" s="1"/>
  <c r="J17"/>
  <c r="N7" i="8"/>
  <c r="O17" i="12" s="1"/>
  <c r="M17"/>
  <c r="H7" i="8"/>
  <c r="I17" i="12" s="1"/>
  <c r="G17"/>
  <c r="G16"/>
  <c r="H6" i="8"/>
  <c r="I16" i="12" s="1"/>
  <c r="G24"/>
  <c r="H6" i="9"/>
  <c r="I24" i="12" s="1"/>
  <c r="Q8" i="8"/>
  <c r="R18" i="12" s="1"/>
  <c r="P18"/>
  <c r="D25"/>
  <c r="E7" i="9"/>
  <c r="F25" i="12" s="1"/>
  <c r="Q5" i="8"/>
  <c r="R15" i="12" s="1"/>
  <c r="P15"/>
  <c r="D24"/>
  <c r="E6" i="9"/>
  <c r="F24" i="12" s="1"/>
  <c r="N8" i="8"/>
  <c r="O18" i="12" s="1"/>
  <c r="M18"/>
  <c r="E5" i="9"/>
  <c r="F23" i="12" s="1"/>
  <c r="D23"/>
  <c r="D16"/>
  <c r="E6" i="8"/>
  <c r="F16" i="12" s="1"/>
</calcChain>
</file>

<file path=xl/comments1.xml><?xml version="1.0" encoding="utf-8"?>
<comments xmlns="http://schemas.openxmlformats.org/spreadsheetml/2006/main">
  <authors>
    <author>Vincent Boudhali</author>
  </authors>
  <commentList>
    <comment ref="W21" authorId="0">
      <text>
        <r>
          <rPr>
            <b/>
            <sz val="8"/>
            <color indexed="81"/>
            <rFont val="Tahoma"/>
            <family val="2"/>
          </rPr>
          <t>Vincent Boudhali:</t>
        </r>
        <r>
          <rPr>
            <sz val="8"/>
            <color indexed="81"/>
            <rFont val="Tahoma"/>
            <family val="2"/>
          </rPr>
          <t xml:space="preserve">
CPI0 and CPI close to MX at E-09 but ratio of both times the notional close to E-03</t>
        </r>
      </text>
    </comment>
    <comment ref="W22" authorId="0">
      <text>
        <r>
          <rPr>
            <b/>
            <sz val="8"/>
            <color indexed="81"/>
            <rFont val="Tahoma"/>
            <family val="2"/>
          </rPr>
          <t>Vincent Boudhali:</t>
        </r>
        <r>
          <rPr>
            <sz val="8"/>
            <color indexed="81"/>
            <rFont val="Tahoma"/>
            <family val="2"/>
          </rPr>
          <t xml:space="preserve">
CPI0 match
CPI close to E-10 but floating leg cashflow close to 0.0755</t>
        </r>
      </text>
    </comment>
    <comment ref="W127" authorId="0">
      <text>
        <r>
          <rPr>
            <b/>
            <sz val="8"/>
            <color indexed="81"/>
            <rFont val="Tahoma"/>
            <family val="2"/>
          </rPr>
          <t>Federica Asnicar:
NPV 0.000118732452392578, divided by 10 to pass, agreed with David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<sst xmlns="http://schemas.openxmlformats.org/spreadsheetml/2006/main" count="2125" uniqueCount="387">
  <si>
    <t>Date</t>
  </si>
  <si>
    <t>Fixing</t>
  </si>
  <si>
    <t>Interpolation</t>
  </si>
  <si>
    <t>Index</t>
  </si>
  <si>
    <t>Pricing Date</t>
  </si>
  <si>
    <t>Swap Start Date</t>
  </si>
  <si>
    <t>Fixing Date</t>
  </si>
  <si>
    <t>Fixed Rate</t>
  </si>
  <si>
    <t>FixedFlow</t>
  </si>
  <si>
    <t>Start Date</t>
  </si>
  <si>
    <t>End Date</t>
  </si>
  <si>
    <t>Nominal</t>
  </si>
  <si>
    <t>Ref Date</t>
  </si>
  <si>
    <t>CPI0</t>
  </si>
  <si>
    <t>CPI</t>
  </si>
  <si>
    <t>Payment Date</t>
  </si>
  <si>
    <t>Pay Inflation</t>
  </si>
  <si>
    <t>CPI Date</t>
  </si>
  <si>
    <t>UK RPI</t>
  </si>
  <si>
    <t>FR CPIxT</t>
  </si>
  <si>
    <t>US CPI</t>
  </si>
  <si>
    <t>EUR HICPxT</t>
  </si>
  <si>
    <t>EUR</t>
  </si>
  <si>
    <t>GB</t>
  </si>
  <si>
    <t>US</t>
  </si>
  <si>
    <t>FR</t>
  </si>
  <si>
    <t>Yes</t>
  </si>
  <si>
    <t>No</t>
  </si>
  <si>
    <t>EUR Holidays</t>
  </si>
  <si>
    <t>USD Holidays</t>
  </si>
  <si>
    <t>GBP Holidays</t>
  </si>
  <si>
    <t>Currency</t>
  </si>
  <si>
    <t>Currency Lag</t>
  </si>
  <si>
    <t>Index Lag</t>
  </si>
  <si>
    <t>Swap</t>
  </si>
  <si>
    <t>2Y</t>
  </si>
  <si>
    <t>3Y</t>
  </si>
  <si>
    <t>Df</t>
  </si>
  <si>
    <t>Dates</t>
  </si>
  <si>
    <t>ZC rates</t>
  </si>
  <si>
    <t>GBP Disc</t>
  </si>
  <si>
    <t>EUR Disc</t>
  </si>
  <si>
    <t>USD Disc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</si>
  <si>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</si>
  <si>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</si>
  <si>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</si>
  <si>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</si>
  <si>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</si>
  <si>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</si>
  <si>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</si>
  <si>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</si>
  <si>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</si>
  <si>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</si>
  <si>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</si>
  <si>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</si>
  <si>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UK Seasonality</t>
  </si>
  <si>
    <t>FR Seasonality</t>
  </si>
  <si>
    <t>EUR Seasonality</t>
  </si>
  <si>
    <t>US Seasonality</t>
  </si>
  <si>
    <t>Tenors</t>
  </si>
  <si>
    <t>1M</t>
  </si>
  <si>
    <t>6M</t>
  </si>
  <si>
    <t>8M</t>
  </si>
  <si>
    <t>9M</t>
  </si>
  <si>
    <t>12M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</si>
  <si>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</si>
  <si>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</si>
  <si>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</si>
  <si>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</si>
  <si>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</si>
  <si>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</si>
  <si>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</si>
  <si>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</si>
  <si>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</si>
  <si>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</si>
  <si>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</si>
  <si>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</si>
  <si>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</si>
  <si>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</si>
  <si>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UK Dates</t>
  </si>
  <si>
    <t>EUR Dates</t>
  </si>
  <si>
    <t>Fixing Index</t>
  </si>
  <si>
    <t>Pillar Date</t>
  </si>
  <si>
    <t>Last Known Index</t>
  </si>
  <si>
    <t>Last Known Date</t>
  </si>
  <si>
    <t>EUR Quotes</t>
  </si>
  <si>
    <t>UK Quotes</t>
  </si>
  <si>
    <t>FR Dates</t>
  </si>
  <si>
    <t>FR Quotes</t>
  </si>
  <si>
    <t>US Dates</t>
  </si>
  <si>
    <t>US Quotes</t>
  </si>
  <si>
    <t>1Y</t>
  </si>
  <si>
    <t>PV Date</t>
  </si>
  <si>
    <t>Buy/Sell Flag</t>
  </si>
  <si>
    <t>3M Forward</t>
  </si>
  <si>
    <t>1Y Backward</t>
  </si>
  <si>
    <t>26M</t>
  </si>
  <si>
    <t>27Y</t>
  </si>
  <si>
    <t>CPI0 / lag</t>
  </si>
  <si>
    <t>3Y April</t>
  </si>
  <si>
    <t>11Y Dec</t>
  </si>
  <si>
    <t>Swap End Month used for linear interpolation</t>
  </si>
  <si>
    <t>CPI0 rounded to 5 decimals</t>
  </si>
  <si>
    <t xml:space="preserve">Linear interpolation on a full month
</t>
  </si>
  <si>
    <t>Fixed leg Cashflow
+ Backdated &amp; Fwd trades</t>
  </si>
  <si>
    <t>trade with 1D left before maturity</t>
  </si>
  <si>
    <t>Fwd CPI before or equal to first curve pillar</t>
  </si>
  <si>
    <t>Break even rate 
(on inflation curve tenor)</t>
  </si>
  <si>
    <t>Fwd CPI between two tenors</t>
  </si>
  <si>
    <t>17Y</t>
  </si>
  <si>
    <t>24Y</t>
  </si>
  <si>
    <t>11Y</t>
  </si>
  <si>
    <t>29Y</t>
  </si>
  <si>
    <t>37Y</t>
  </si>
  <si>
    <t>Delta</t>
  </si>
  <si>
    <t>Gamma</t>
  </si>
  <si>
    <t>GBP</t>
  </si>
  <si>
    <t>USD</t>
  </si>
  <si>
    <t>126M</t>
  </si>
  <si>
    <t>Inflation Sensitivity</t>
  </si>
  <si>
    <t>Ok</t>
  </si>
  <si>
    <t>Diff</t>
  </si>
  <si>
    <t>Test</t>
  </si>
  <si>
    <t>Thereshold</t>
  </si>
  <si>
    <t>16Y</t>
  </si>
  <si>
    <t>26Y</t>
  </si>
  <si>
    <t>PV1</t>
  </si>
  <si>
    <t>PV2</t>
  </si>
  <si>
    <t>PV3</t>
  </si>
  <si>
    <t>PV4</t>
  </si>
  <si>
    <t>PV5</t>
  </si>
  <si>
    <t>PV6</t>
  </si>
  <si>
    <t>PV7</t>
  </si>
  <si>
    <t>PV8</t>
  </si>
  <si>
    <t>PV10</t>
  </si>
  <si>
    <t>PV11</t>
  </si>
  <si>
    <t>PV12</t>
  </si>
  <si>
    <t>PV13</t>
  </si>
  <si>
    <t>PV14</t>
  </si>
  <si>
    <t>PV15</t>
  </si>
  <si>
    <t>PV16</t>
  </si>
  <si>
    <t>PV17</t>
  </si>
  <si>
    <t>PV18</t>
  </si>
  <si>
    <t>PV19</t>
  </si>
  <si>
    <t>PV20</t>
  </si>
  <si>
    <t>PV21</t>
  </si>
  <si>
    <t>PV22</t>
  </si>
  <si>
    <t>PV23</t>
  </si>
  <si>
    <t>PV24</t>
  </si>
  <si>
    <t>PV25</t>
  </si>
  <si>
    <t>PV26</t>
  </si>
  <si>
    <t>PV27</t>
  </si>
  <si>
    <t>PV28</t>
  </si>
  <si>
    <t>PV29</t>
  </si>
  <si>
    <t>PV30</t>
  </si>
  <si>
    <t>PV31</t>
  </si>
  <si>
    <t>PV32</t>
  </si>
  <si>
    <t>PV33</t>
  </si>
  <si>
    <t>PV34</t>
  </si>
  <si>
    <t>PV35</t>
  </si>
  <si>
    <t>PV36</t>
  </si>
  <si>
    <t>PV37</t>
  </si>
  <si>
    <t>PV38</t>
  </si>
  <si>
    <t>PV39</t>
  </si>
  <si>
    <t>PV40</t>
  </si>
  <si>
    <t>PV41</t>
  </si>
  <si>
    <t>PV42</t>
  </si>
  <si>
    <t>PV43</t>
  </si>
  <si>
    <t>PV44</t>
  </si>
  <si>
    <t>PV45</t>
  </si>
  <si>
    <t>PV46</t>
  </si>
  <si>
    <t>PV47</t>
  </si>
  <si>
    <t>PV48</t>
  </si>
  <si>
    <t>PV49</t>
  </si>
  <si>
    <t>PV50</t>
  </si>
  <si>
    <t>PV51</t>
  </si>
  <si>
    <t>PV52</t>
  </si>
  <si>
    <t>PV53</t>
  </si>
  <si>
    <t>PV54</t>
  </si>
  <si>
    <t>PV55</t>
  </si>
  <si>
    <t>PV56</t>
  </si>
  <si>
    <t>PV57</t>
  </si>
  <si>
    <t>PV58</t>
  </si>
  <si>
    <t>PV59</t>
  </si>
  <si>
    <t>PV60</t>
  </si>
  <si>
    <t>PV61</t>
  </si>
  <si>
    <t>PV62</t>
  </si>
  <si>
    <t>PV63</t>
  </si>
  <si>
    <t>PV64</t>
  </si>
  <si>
    <t>PV65</t>
  </si>
  <si>
    <t>PV66</t>
  </si>
  <si>
    <t>PV67</t>
  </si>
  <si>
    <t>PV68</t>
  </si>
  <si>
    <t>PV69</t>
  </si>
  <si>
    <t>PV70</t>
  </si>
  <si>
    <t>PV71</t>
  </si>
  <si>
    <t>PV72</t>
  </si>
  <si>
    <t>PV73</t>
  </si>
  <si>
    <t>PV74</t>
  </si>
  <si>
    <t>PV75</t>
  </si>
  <si>
    <t>PV76</t>
  </si>
  <si>
    <t>PV77</t>
  </si>
  <si>
    <t>PV78</t>
  </si>
  <si>
    <t>PV79</t>
  </si>
  <si>
    <t>PV80</t>
  </si>
  <si>
    <t>PV81</t>
  </si>
  <si>
    <t>PV82</t>
  </si>
  <si>
    <t>PV83</t>
  </si>
  <si>
    <t>PV84</t>
  </si>
  <si>
    <t>PV85</t>
  </si>
  <si>
    <t>PV86</t>
  </si>
  <si>
    <t>PV87</t>
  </si>
  <si>
    <t>PV88</t>
  </si>
  <si>
    <t>PV89</t>
  </si>
  <si>
    <t>PV90</t>
  </si>
  <si>
    <t>PV91</t>
  </si>
  <si>
    <t>PV92</t>
  </si>
  <si>
    <t>PV93</t>
  </si>
  <si>
    <t>PV94</t>
  </si>
  <si>
    <t>PV95</t>
  </si>
  <si>
    <t>PV96</t>
  </si>
  <si>
    <t>PV97</t>
  </si>
  <si>
    <t>PV98</t>
  </si>
  <si>
    <t>PV99</t>
  </si>
  <si>
    <t>PV100</t>
  </si>
  <si>
    <t>PV101</t>
  </si>
  <si>
    <t>PV102</t>
  </si>
  <si>
    <t>PV103</t>
  </si>
  <si>
    <t>PV104</t>
  </si>
  <si>
    <t>PV105</t>
  </si>
  <si>
    <t>PV106</t>
  </si>
  <si>
    <t>PV107</t>
  </si>
  <si>
    <t>PV108</t>
  </si>
  <si>
    <t>PV109</t>
  </si>
  <si>
    <t>PV110</t>
  </si>
  <si>
    <t>PV111</t>
  </si>
  <si>
    <t>PV112</t>
  </si>
  <si>
    <t>PV113</t>
  </si>
  <si>
    <t>PV114</t>
  </si>
  <si>
    <t>PV115</t>
  </si>
  <si>
    <t>PV116</t>
  </si>
  <si>
    <t>PV117</t>
  </si>
  <si>
    <t>PV118</t>
  </si>
  <si>
    <t>PV119</t>
  </si>
  <si>
    <t>PV120</t>
  </si>
  <si>
    <t>PV121</t>
  </si>
  <si>
    <t>PV122</t>
  </si>
  <si>
    <t>PV123</t>
  </si>
  <si>
    <t>PV124</t>
  </si>
  <si>
    <t>PV125</t>
  </si>
  <si>
    <t>PV126</t>
  </si>
  <si>
    <t>PV127</t>
  </si>
  <si>
    <t>PV128</t>
  </si>
  <si>
    <t>PV129</t>
  </si>
  <si>
    <t>PV130</t>
  </si>
  <si>
    <t>Curve name</t>
  </si>
  <si>
    <t>Inflation (par)</t>
  </si>
  <si>
    <t>PV pricing</t>
  </si>
  <si>
    <t>MX pricing</t>
  </si>
  <si>
    <t>US CPI AI NSA</t>
  </si>
  <si>
    <t>Diff DV01</t>
  </si>
  <si>
    <t>Diff DV02</t>
  </si>
  <si>
    <t>Test Delta</t>
  </si>
  <si>
    <t>Test Gamma</t>
  </si>
  <si>
    <t>Diff Gamma</t>
  </si>
  <si>
    <t>Inflation gamma (Par)</t>
  </si>
  <si>
    <t>Inflation (Cpi)</t>
  </si>
  <si>
    <t>Inflation (zero)</t>
  </si>
  <si>
    <t>Key</t>
  </si>
  <si>
    <t>Inflation gamma (Zero)</t>
  </si>
  <si>
    <t>Trade number</t>
  </si>
  <si>
    <t>Global ID</t>
  </si>
  <si>
    <t>Label</t>
  </si>
  <si>
    <t>MV_EOD</t>
  </si>
  <si>
    <t>DBC_H_SCM</t>
  </si>
  <si>
    <t>GBP GB RPI AI ZC 2M</t>
  </si>
  <si>
    <t>GB RPI AI</t>
  </si>
  <si>
    <t>USD US CPI AI NSA ZC 3M</t>
  </si>
  <si>
    <t>EUR FR CPI XT ZC 3M</t>
  </si>
  <si>
    <t>FR CPI XT</t>
  </si>
  <si>
    <t>EUR EU HICP XT ZC 3M</t>
  </si>
  <si>
    <t>EU HICP XT</t>
  </si>
  <si>
    <t>EUR EU HICP XT ZC 7M</t>
  </si>
  <si>
    <t>EUR FR CPI XT ZC 12M</t>
  </si>
  <si>
    <t>GBP GB RPI AI ZC 6M</t>
  </si>
  <si>
    <t>EUR EU HICP XT ZC 5M</t>
  </si>
  <si>
    <t>USD US CPI AI NSA ZC 6M</t>
  </si>
  <si>
    <t>EUR FR CPI XT ZC 6M</t>
  </si>
  <si>
    <t>GBP GB RPI AI ZC 3M</t>
  </si>
  <si>
    <t>GBP GB RPI AI ZC 4M</t>
  </si>
  <si>
    <t>EUR EU HICP XT ZC 4M</t>
  </si>
  <si>
    <t>USD US CPI AI NSA ZC 4M</t>
  </si>
  <si>
    <t>EUR FR CPI XT ZC 4M</t>
  </si>
  <si>
    <t>USD US CPI AI NSA ZC 5M</t>
  </si>
  <si>
    <t>EUR FR CPI XT ZC 5M</t>
  </si>
  <si>
    <t>EUR FR CPI XT ZC 7M</t>
  </si>
  <si>
    <t>USD US CPI AI NSA ZC 7M</t>
  </si>
  <si>
    <t>PV999</t>
  </si>
  <si>
    <t>USD US CPI AI NSA ZC 8M</t>
  </si>
  <si>
    <t>PV117_IM</t>
  </si>
  <si>
    <t>PV119_IM</t>
  </si>
  <si>
    <t>PV117_IM2</t>
  </si>
  <si>
    <t>Temporary change to match MX: modify following adjustment of fixing date</t>
  </si>
  <si>
    <t>Test Par Delta</t>
  </si>
  <si>
    <t>Test Par Gamma</t>
  </si>
  <si>
    <t>Diff Par Delta</t>
  </si>
  <si>
    <t>Par Delta - Calc</t>
  </si>
  <si>
    <t>Par Delta MX</t>
  </si>
  <si>
    <t>CPI Rate Delta MX</t>
  </si>
  <si>
    <t>CPI Rate Delta - Calc</t>
  </si>
  <si>
    <t>Diff CPI Rate Delta</t>
  </si>
  <si>
    <t>CPI Delta MX</t>
  </si>
  <si>
    <t>CPI Delta - Calc</t>
  </si>
  <si>
    <t>Diff CPI Delta</t>
  </si>
  <si>
    <t>Test CPI Rate Delta</t>
  </si>
  <si>
    <t>Test CPI Delta</t>
  </si>
  <si>
    <t>CPI Delta</t>
  </si>
  <si>
    <t>CPI Rate Delta</t>
  </si>
  <si>
    <t>Par Delta</t>
  </si>
  <si>
    <t>ZC Interest Rate Sensitivity</t>
  </si>
  <si>
    <t>Test CPI Rate Gamma</t>
  </si>
  <si>
    <t>Par Gamma MX</t>
  </si>
  <si>
    <t>Par Gamma - Calc</t>
  </si>
  <si>
    <t>CPI Rate Gamma MX</t>
  </si>
  <si>
    <t>CPI Rate Gamma - Calc</t>
  </si>
  <si>
    <t>Par Delta &amp; Gamma</t>
  </si>
  <si>
    <t>CPI Rate Delta &amp; Gamma</t>
  </si>
  <si>
    <t>Par Gamma</t>
  </si>
  <si>
    <t>CPI Rate Gamma</t>
  </si>
  <si>
    <t>Min Error</t>
  </si>
  <si>
    <t>Max Error</t>
  </si>
  <si>
    <t>Pass/Fail</t>
  </si>
  <si>
    <t>ï»¿Curve name</t>
  </si>
  <si>
    <t>DV01 Delta</t>
  </si>
  <si>
    <t>DV01 Gamma</t>
  </si>
  <si>
    <t>ZC Delta MX</t>
  </si>
  <si>
    <t>ZC Delta Calc</t>
  </si>
  <si>
    <t>ZC Gamma MX</t>
  </si>
  <si>
    <t>ZC Gamma Calc</t>
  </si>
  <si>
    <t>ZC Delta</t>
  </si>
  <si>
    <t>ZC Gamma</t>
  </si>
  <si>
    <t>PV</t>
  </si>
  <si>
    <t>FR CPI XT NR - IM</t>
  </si>
  <si>
    <t>GB RPI AI 2M - IM</t>
  </si>
  <si>
    <t>HICP CPI XT NR - IM</t>
  </si>
  <si>
    <t>US CPI AI NSA - IM</t>
  </si>
  <si>
    <t>ï»¿Portfolio</t>
  </si>
  <si>
    <t>1D</t>
  </si>
  <si>
    <t>7D</t>
  </si>
  <si>
    <t>14D</t>
  </si>
  <si>
    <t>21D</t>
  </si>
  <si>
    <t>30D</t>
  </si>
  <si>
    <t>60D</t>
  </si>
  <si>
    <t>91D</t>
  </si>
  <si>
    <t>121D</t>
  </si>
  <si>
    <t>152D</t>
  </si>
  <si>
    <t>182D</t>
  </si>
  <si>
    <t>212D</t>
  </si>
  <si>
    <t>243D</t>
  </si>
  <si>
    <t>273D</t>
  </si>
  <si>
    <t>304D</t>
  </si>
  <si>
    <t>334D</t>
  </si>
  <si>
    <t>365D</t>
  </si>
  <si>
    <t>456D</t>
  </si>
  <si>
    <t>547D</t>
  </si>
  <si>
    <t>638D</t>
  </si>
  <si>
    <t>730D</t>
  </si>
  <si>
    <t>1095D</t>
  </si>
  <si>
    <t>1460D</t>
  </si>
  <si>
    <t>1825D</t>
  </si>
  <si>
    <t>2190D</t>
  </si>
  <si>
    <t>2555D</t>
  </si>
  <si>
    <t>2920D</t>
  </si>
  <si>
    <t>3285D</t>
  </si>
  <si>
    <t>3650D</t>
  </si>
  <si>
    <t>4380D</t>
  </si>
  <si>
    <t>5475D</t>
  </si>
  <si>
    <t>7300D</t>
  </si>
  <si>
    <t>9125D</t>
  </si>
  <si>
    <t>10950D</t>
  </si>
  <si>
    <t>12775D</t>
  </si>
  <si>
    <t>14600D</t>
  </si>
  <si>
    <t>16425D</t>
  </si>
  <si>
    <t>18250D</t>
  </si>
  <si>
    <t>EUR ZERO EONIA</t>
  </si>
  <si>
    <t>GBP ZERO SONIA</t>
  </si>
  <si>
    <t>USD ZERO FEDFUNDS</t>
  </si>
</sst>
</file>

<file path=xl/styles.xml><?xml version="1.0" encoding="utf-8"?>
<styleSheet xmlns="http://schemas.openxmlformats.org/spreadsheetml/2006/main">
  <numFmts count="25">
    <numFmt numFmtId="43" formatCode="_-* #,##0.00_-;\-* #,##0.00_-;_-* &quot;-&quot;??_-;_-@_-"/>
    <numFmt numFmtId="164" formatCode="0.000"/>
    <numFmt numFmtId="165" formatCode="0.00000000"/>
    <numFmt numFmtId="166" formatCode="0.00000"/>
    <numFmt numFmtId="167" formatCode="0.0000"/>
    <numFmt numFmtId="168" formatCode="_-* #,##0.0000000_-;\-* #,##0.0000000_-;_-* &quot;-&quot;??_-;_-@_-"/>
    <numFmt numFmtId="169" formatCode="_-* #,##0.0_-;\-* #,##0.0_-;_-* &quot;-&quot;??_-;_-@_-"/>
    <numFmt numFmtId="170" formatCode="_-* #,##0_-;\-* #,##0_-;_-* &quot;-&quot;??_-;_-@_-"/>
    <numFmt numFmtId="171" formatCode="0.0000%"/>
    <numFmt numFmtId="172" formatCode="_-* #,##0.000_-;\-* #,##0.000_-;_-* &quot;-&quot;??_-;_-@_-"/>
    <numFmt numFmtId="173" formatCode="_-* #,##0.000000_-;\-* #,##0.000000_-;_-* &quot;-&quot;??_-;_-@_-"/>
    <numFmt numFmtId="174" formatCode="_-* #,##0.00000000_-;\-* #,##0.00000000_-;_-* &quot;-&quot;??_-;_-@_-"/>
    <numFmt numFmtId="175" formatCode="_-* #,##0.000000000000_-;\-* #,##0.000000000000_-;_-* &quot;-&quot;??_-;_-@_-"/>
    <numFmt numFmtId="176" formatCode="0.000E+00"/>
    <numFmt numFmtId="177" formatCode="_-* #,##0.00000_-;\-* #,##0.00000_-;_-* &quot;-&quot;??_-;_-@_-"/>
    <numFmt numFmtId="178" formatCode="_-* #,##0.0000_-;\-* #,##0.0000_-;_-* &quot;-&quot;??_-;_-@_-"/>
    <numFmt numFmtId="179" formatCode="0.000000000000000"/>
    <numFmt numFmtId="180" formatCode="0.00000000000000000"/>
    <numFmt numFmtId="181" formatCode="0.0000000000000000"/>
    <numFmt numFmtId="182" formatCode="_-* #,##0.000000000000000_-;\-* #,##0.000000000000000_-;_-* &quot;-&quot;??_-;_-@_-"/>
    <numFmt numFmtId="183" formatCode="0.00000000000"/>
    <numFmt numFmtId="184" formatCode="#,##0.000000000000000000"/>
    <numFmt numFmtId="185" formatCode="_-* #,##0.00000000000000_-;\-* #,##0.00000000000000_-;_-* &quot;-&quot;??_-;_-@_-"/>
    <numFmt numFmtId="186" formatCode="0.00000000000000000000000000000"/>
    <numFmt numFmtId="187" formatCode="_-* #,##0.000000000_-;\-* #,##0.000000000_-;_-* &quot;-&quot;??_-;_-@_-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name val="Arial"/>
      <family val="2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6337778862885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43" fontId="19" fillId="0" borderId="0" applyFont="0" applyFill="0" applyBorder="0" applyAlignment="0" applyProtection="0"/>
  </cellStyleXfs>
  <cellXfs count="320">
    <xf numFmtId="0" fontId="0" fillId="0" borderId="0" xfId="0"/>
    <xf numFmtId="0" fontId="16" fillId="0" borderId="0" xfId="0" applyFont="1"/>
    <xf numFmtId="14" fontId="0" fillId="0" borderId="0" xfId="0" applyNumberFormat="1"/>
    <xf numFmtId="164" fontId="0" fillId="0" borderId="0" xfId="0" applyNumberFormat="1" applyFont="1" applyFill="1" applyBorder="1" applyAlignment="1" applyProtection="1"/>
    <xf numFmtId="0" fontId="0" fillId="0" borderId="0" xfId="0"/>
    <xf numFmtId="0" fontId="16" fillId="0" borderId="0" xfId="0" applyFont="1"/>
    <xf numFmtId="0" fontId="18" fillId="5" borderId="30" xfId="11" applyFont="1" applyBorder="1" applyAlignment="1">
      <alignment horizontal="center"/>
    </xf>
    <xf numFmtId="14" fontId="0" fillId="0" borderId="28" xfId="0" applyNumberFormat="1" applyBorder="1" applyAlignment="1">
      <alignment horizontal="center"/>
    </xf>
    <xf numFmtId="14" fontId="0" fillId="37" borderId="31" xfId="0" applyNumberFormat="1" applyFont="1" applyFill="1" applyBorder="1"/>
    <xf numFmtId="14" fontId="0" fillId="37" borderId="32" xfId="0" applyNumberFormat="1" applyFont="1" applyFill="1" applyBorder="1"/>
    <xf numFmtId="14" fontId="0" fillId="36" borderId="32" xfId="0" applyNumberFormat="1" applyFont="1" applyFill="1" applyBorder="1"/>
    <xf numFmtId="0" fontId="0" fillId="0" borderId="0" xfId="0"/>
    <xf numFmtId="14" fontId="0" fillId="0" borderId="0" xfId="0" applyNumberFormat="1"/>
    <xf numFmtId="0" fontId="16" fillId="36" borderId="25" xfId="0" applyFont="1" applyFill="1" applyBorder="1" applyAlignment="1">
      <alignment horizontal="center"/>
    </xf>
    <xf numFmtId="14" fontId="0" fillId="37" borderId="26" xfId="0" applyNumberFormat="1" applyFont="1" applyFill="1" applyBorder="1"/>
    <xf numFmtId="14" fontId="0" fillId="36" borderId="27" xfId="0" applyNumberFormat="1" applyFont="1" applyFill="1" applyBorder="1"/>
    <xf numFmtId="14" fontId="0" fillId="37" borderId="27" xfId="0" applyNumberFormat="1" applyFont="1" applyFill="1" applyBorder="1"/>
    <xf numFmtId="0" fontId="18" fillId="33" borderId="33" xfId="11" applyFont="1" applyFill="1" applyBorder="1" applyAlignment="1">
      <alignment horizontal="center"/>
    </xf>
    <xf numFmtId="0" fontId="18" fillId="33" borderId="29" xfId="11" applyFont="1" applyFill="1" applyBorder="1" applyAlignment="1">
      <alignment horizontal="center"/>
    </xf>
    <xf numFmtId="0" fontId="0" fillId="0" borderId="0" xfId="0"/>
    <xf numFmtId="0" fontId="18" fillId="33" borderId="21" xfId="11" applyFont="1" applyFill="1" applyBorder="1" applyAlignment="1">
      <alignment horizontal="center"/>
    </xf>
    <xf numFmtId="0" fontId="18" fillId="33" borderId="20" xfId="11" applyFont="1" applyFill="1" applyBorder="1" applyAlignment="1">
      <alignment horizontal="center"/>
    </xf>
    <xf numFmtId="0" fontId="18" fillId="33" borderId="23" xfId="11" applyFont="1" applyFill="1" applyBorder="1" applyAlignment="1">
      <alignment horizontal="center"/>
    </xf>
    <xf numFmtId="0" fontId="16" fillId="35" borderId="19" xfId="0" applyFont="1" applyFill="1" applyBorder="1"/>
    <xf numFmtId="0" fontId="0" fillId="0" borderId="0" xfId="0"/>
    <xf numFmtId="43" fontId="0" fillId="0" borderId="0" xfId="1" applyFont="1"/>
    <xf numFmtId="14" fontId="0" fillId="0" borderId="0" xfId="0" applyNumberFormat="1"/>
    <xf numFmtId="11" fontId="0" fillId="0" borderId="0" xfId="1" applyNumberFormat="1" applyFont="1"/>
    <xf numFmtId="172" fontId="0" fillId="0" borderId="0" xfId="1" quotePrefix="1" applyNumberFormat="1" applyFont="1"/>
    <xf numFmtId="43" fontId="0" fillId="0" borderId="0" xfId="1" quotePrefix="1" applyNumberFormat="1" applyFont="1"/>
    <xf numFmtId="169" fontId="0" fillId="0" borderId="0" xfId="1" quotePrefix="1" applyNumberFormat="1" applyFont="1"/>
    <xf numFmtId="175" fontId="0" fillId="0" borderId="0" xfId="1" applyNumberFormat="1" applyFont="1"/>
    <xf numFmtId="166" fontId="9" fillId="34" borderId="16" xfId="11" applyNumberFormat="1" applyFont="1" applyFill="1" applyBorder="1" applyAlignment="1">
      <alignment horizontal="center"/>
    </xf>
    <xf numFmtId="166" fontId="9" fillId="34" borderId="20" xfId="11" applyNumberFormat="1" applyFont="1" applyFill="1" applyBorder="1" applyAlignment="1">
      <alignment horizontal="center"/>
    </xf>
    <xf numFmtId="166" fontId="9" fillId="34" borderId="23" xfId="11" applyNumberFormat="1" applyFont="1" applyFill="1" applyBorder="1" applyAlignment="1">
      <alignment horizontal="center"/>
    </xf>
    <xf numFmtId="0" fontId="18" fillId="33" borderId="20" xfId="11" applyFont="1" applyFill="1" applyBorder="1" applyAlignment="1">
      <alignment horizontal="center"/>
    </xf>
    <xf numFmtId="0" fontId="18" fillId="33" borderId="23" xfId="11" applyFont="1" applyFill="1" applyBorder="1" applyAlignment="1">
      <alignment horizontal="center"/>
    </xf>
    <xf numFmtId="0" fontId="0" fillId="0" borderId="0" xfId="0"/>
    <xf numFmtId="167" fontId="9" fillId="5" borderId="0" xfId="11" applyNumberFormat="1" applyFont="1" applyBorder="1" applyAlignment="1">
      <alignment horizontal="center"/>
    </xf>
    <xf numFmtId="167" fontId="9" fillId="5" borderId="12" xfId="11" applyNumberFormat="1" applyFont="1" applyBorder="1" applyAlignment="1">
      <alignment horizontal="center"/>
    </xf>
    <xf numFmtId="166" fontId="9" fillId="34" borderId="18" xfId="11" applyNumberFormat="1" applyFont="1" applyFill="1" applyBorder="1" applyAlignment="1">
      <alignment horizontal="center"/>
    </xf>
    <xf numFmtId="0" fontId="16" fillId="0" borderId="0" xfId="0" applyFont="1"/>
    <xf numFmtId="14" fontId="18" fillId="33" borderId="16" xfId="11" applyNumberFormat="1" applyFont="1" applyFill="1" applyBorder="1" applyAlignment="1">
      <alignment horizontal="center"/>
    </xf>
    <xf numFmtId="14" fontId="18" fillId="33" borderId="18" xfId="11" applyNumberFormat="1" applyFont="1" applyFill="1" applyBorder="1" applyAlignment="1">
      <alignment horizontal="center"/>
    </xf>
    <xf numFmtId="165" fontId="9" fillId="5" borderId="11" xfId="11" applyNumberFormat="1" applyFont="1" applyBorder="1" applyAlignment="1">
      <alignment horizontal="center"/>
    </xf>
    <xf numFmtId="165" fontId="9" fillId="5" borderId="17" xfId="11" applyNumberFormat="1" applyFont="1" applyBorder="1" applyAlignment="1">
      <alignment horizontal="center"/>
    </xf>
    <xf numFmtId="165" fontId="9" fillId="5" borderId="13" xfId="11" applyNumberFormat="1" applyFont="1" applyBorder="1" applyAlignment="1">
      <alignment horizontal="center"/>
    </xf>
    <xf numFmtId="0" fontId="16" fillId="35" borderId="19" xfId="0" applyFont="1" applyFill="1" applyBorder="1" applyAlignment="1">
      <alignment horizontal="center"/>
    </xf>
    <xf numFmtId="167" fontId="9" fillId="5" borderId="0" xfId="11" applyNumberFormat="1" applyFont="1" applyBorder="1" applyAlignment="1">
      <alignment horizontal="center"/>
    </xf>
    <xf numFmtId="167" fontId="9" fillId="5" borderId="12" xfId="11" applyNumberFormat="1" applyFont="1" applyBorder="1" applyAlignment="1">
      <alignment horizontal="center"/>
    </xf>
    <xf numFmtId="11" fontId="0" fillId="0" borderId="0" xfId="1" applyNumberFormat="1" applyFont="1"/>
    <xf numFmtId="3" fontId="0" fillId="0" borderId="0" xfId="0" applyNumberFormat="1"/>
    <xf numFmtId="176" fontId="0" fillId="0" borderId="0" xfId="0" applyNumberFormat="1"/>
    <xf numFmtId="168" fontId="0" fillId="0" borderId="0" xfId="0" applyNumberFormat="1"/>
    <xf numFmtId="174" fontId="0" fillId="0" borderId="0" xfId="0" applyNumberFormat="1"/>
    <xf numFmtId="14" fontId="0" fillId="0" borderId="0" xfId="0" applyNumberFormat="1"/>
    <xf numFmtId="43" fontId="0" fillId="0" borderId="0" xfId="1" applyFont="1"/>
    <xf numFmtId="4" fontId="0" fillId="0" borderId="0" xfId="0" applyNumberFormat="1"/>
    <xf numFmtId="0" fontId="0" fillId="0" borderId="0" xfId="0"/>
    <xf numFmtId="14" fontId="0" fillId="0" borderId="0" xfId="0" applyNumberFormat="1"/>
    <xf numFmtId="43" fontId="0" fillId="0" borderId="0" xfId="1" applyFont="1"/>
    <xf numFmtId="172" fontId="0" fillId="0" borderId="0" xfId="1" applyNumberFormat="1" applyFont="1"/>
    <xf numFmtId="11" fontId="0" fillId="0" borderId="0" xfId="0" applyNumberFormat="1"/>
    <xf numFmtId="0" fontId="18" fillId="5" borderId="34" xfId="11" applyFont="1" applyBorder="1" applyAlignment="1">
      <alignment horizontal="center"/>
    </xf>
    <xf numFmtId="0" fontId="18" fillId="5" borderId="10" xfId="11" applyFont="1" applyBorder="1" applyAlignment="1">
      <alignment horizontal="center"/>
    </xf>
    <xf numFmtId="0" fontId="18" fillId="38" borderId="34" xfId="11" applyFont="1" applyFill="1" applyBorder="1" applyAlignment="1">
      <alignment horizontal="center"/>
    </xf>
    <xf numFmtId="0" fontId="18" fillId="38" borderId="10" xfId="11" applyFont="1" applyFill="1" applyBorder="1" applyAlignment="1">
      <alignment horizontal="center"/>
    </xf>
    <xf numFmtId="0" fontId="18" fillId="38" borderId="11" xfId="11" applyFont="1" applyFill="1" applyBorder="1" applyAlignment="1">
      <alignment horizontal="center"/>
    </xf>
    <xf numFmtId="0" fontId="18" fillId="34" borderId="10" xfId="11" applyFont="1" applyFill="1" applyBorder="1" applyAlignment="1">
      <alignment horizontal="center"/>
    </xf>
    <xf numFmtId="0" fontId="18" fillId="34" borderId="11" xfId="11" applyFont="1" applyFill="1" applyBorder="1" applyAlignment="1">
      <alignment horizontal="center"/>
    </xf>
    <xf numFmtId="170" fontId="0" fillId="0" borderId="36" xfId="1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10" fontId="0" fillId="0" borderId="36" xfId="2" applyNumberFormat="1" applyFont="1" applyBorder="1" applyAlignment="1">
      <alignment horizontal="center"/>
    </xf>
    <xf numFmtId="14" fontId="0" fillId="0" borderId="36" xfId="0" applyNumberFormat="1" applyBorder="1"/>
    <xf numFmtId="43" fontId="0" fillId="0" borderId="36" xfId="1" applyFont="1" applyBorder="1"/>
    <xf numFmtId="166" fontId="0" fillId="0" borderId="36" xfId="0" applyNumberFormat="1" applyBorder="1"/>
    <xf numFmtId="164" fontId="0" fillId="0" borderId="36" xfId="0" applyNumberFormat="1" applyBorder="1"/>
    <xf numFmtId="0" fontId="0" fillId="0" borderId="36" xfId="0" applyBorder="1"/>
    <xf numFmtId="43" fontId="0" fillId="0" borderId="37" xfId="1" applyFont="1" applyBorder="1"/>
    <xf numFmtId="170" fontId="0" fillId="0" borderId="0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4" fontId="0" fillId="0" borderId="0" xfId="0" applyNumberFormat="1" applyBorder="1"/>
    <xf numFmtId="43" fontId="0" fillId="0" borderId="0" xfId="1" applyFont="1" applyBorder="1"/>
    <xf numFmtId="166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43" fontId="0" fillId="0" borderId="39" xfId="1" applyFont="1" applyBorder="1"/>
    <xf numFmtId="170" fontId="0" fillId="0" borderId="41" xfId="1" applyNumberFormat="1" applyFont="1" applyBorder="1" applyAlignment="1">
      <alignment horizontal="center"/>
    </xf>
    <xf numFmtId="10" fontId="0" fillId="0" borderId="41" xfId="2" applyNumberFormat="1" applyFont="1" applyBorder="1" applyAlignment="1">
      <alignment horizontal="center"/>
    </xf>
    <xf numFmtId="14" fontId="0" fillId="0" borderId="41" xfId="0" applyNumberFormat="1" applyBorder="1"/>
    <xf numFmtId="43" fontId="0" fillId="0" borderId="41" xfId="1" applyFont="1" applyBorder="1"/>
    <xf numFmtId="166" fontId="0" fillId="0" borderId="41" xfId="0" applyNumberFormat="1" applyBorder="1"/>
    <xf numFmtId="164" fontId="0" fillId="0" borderId="41" xfId="0" applyNumberFormat="1" applyBorder="1"/>
    <xf numFmtId="0" fontId="0" fillId="0" borderId="41" xfId="0" applyBorder="1"/>
    <xf numFmtId="43" fontId="0" fillId="0" borderId="42" xfId="1" applyFont="1" applyBorder="1"/>
    <xf numFmtId="17" fontId="0" fillId="0" borderId="0" xfId="0" applyNumberFormat="1" applyBorder="1" applyAlignment="1">
      <alignment horizontal="center"/>
    </xf>
    <xf numFmtId="17" fontId="0" fillId="0" borderId="41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0" xfId="0" quotePrefix="1"/>
    <xf numFmtId="43" fontId="0" fillId="0" borderId="35" xfId="1" applyFont="1" applyBorder="1"/>
    <xf numFmtId="43" fontId="0" fillId="0" borderId="38" xfId="1" applyFont="1" applyBorder="1"/>
    <xf numFmtId="43" fontId="0" fillId="0" borderId="40" xfId="1" applyFont="1" applyBorder="1"/>
    <xf numFmtId="43" fontId="0" fillId="0" borderId="0" xfId="0" applyNumberFormat="1"/>
    <xf numFmtId="178" fontId="0" fillId="0" borderId="39" xfId="1" applyNumberFormat="1" applyFont="1" applyBorder="1"/>
    <xf numFmtId="178" fontId="0" fillId="0" borderId="0" xfId="1" applyNumberFormat="1" applyFont="1"/>
    <xf numFmtId="179" fontId="0" fillId="0" borderId="0" xfId="0" applyNumberFormat="1"/>
    <xf numFmtId="180" fontId="0" fillId="0" borderId="0" xfId="0" applyNumberFormat="1"/>
    <xf numFmtId="0" fontId="20" fillId="0" borderId="0" xfId="0" applyFont="1"/>
    <xf numFmtId="167" fontId="0" fillId="0" borderId="0" xfId="0" applyNumberFormat="1"/>
    <xf numFmtId="181" fontId="0" fillId="0" borderId="0" xfId="0" applyNumberFormat="1"/>
    <xf numFmtId="0" fontId="18" fillId="34" borderId="30" xfId="11" applyFont="1" applyFill="1" applyBorder="1" applyAlignment="1">
      <alignment horizontal="center"/>
    </xf>
    <xf numFmtId="0" fontId="18" fillId="34" borderId="46" xfId="11" applyFont="1" applyFill="1" applyBorder="1" applyAlignment="1">
      <alignment horizontal="center"/>
    </xf>
    <xf numFmtId="178" fontId="0" fillId="0" borderId="37" xfId="1" applyNumberFormat="1" applyFont="1" applyBorder="1"/>
    <xf numFmtId="178" fontId="0" fillId="0" borderId="42" xfId="1" applyNumberFormat="1" applyFont="1" applyBorder="1"/>
    <xf numFmtId="172" fontId="14" fillId="0" borderId="0" xfId="1" applyNumberFormat="1" applyFont="1"/>
    <xf numFmtId="177" fontId="0" fillId="0" borderId="0" xfId="1" applyNumberFormat="1" applyFont="1"/>
    <xf numFmtId="173" fontId="0" fillId="0" borderId="0" xfId="1" applyNumberFormat="1" applyFont="1"/>
    <xf numFmtId="43" fontId="16" fillId="0" borderId="0" xfId="1" applyFont="1"/>
    <xf numFmtId="11" fontId="16" fillId="0" borderId="0" xfId="1" applyNumberFormat="1" applyFont="1"/>
    <xf numFmtId="178" fontId="14" fillId="0" borderId="0" xfId="1" applyNumberFormat="1" applyFont="1"/>
    <xf numFmtId="168" fontId="21" fillId="0" borderId="0" xfId="0" applyNumberFormat="1" applyFont="1"/>
    <xf numFmtId="0" fontId="0" fillId="0" borderId="0" xfId="0" applyFont="1"/>
    <xf numFmtId="182" fontId="0" fillId="0" borderId="0" xfId="1" applyNumberFormat="1" applyFont="1"/>
    <xf numFmtId="10" fontId="0" fillId="0" borderId="0" xfId="2" applyNumberFormat="1" applyFont="1" applyFill="1" applyBorder="1" applyAlignment="1">
      <alignment horizontal="center"/>
    </xf>
    <xf numFmtId="183" fontId="0" fillId="0" borderId="0" xfId="0" applyNumberFormat="1"/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/>
    <xf numFmtId="170" fontId="0" fillId="0" borderId="0" xfId="1" applyNumberFormat="1" applyFont="1" applyFill="1" applyBorder="1" applyAlignment="1">
      <alignment horizontal="center"/>
    </xf>
    <xf numFmtId="0" fontId="0" fillId="0" borderId="0" xfId="0" applyFill="1"/>
    <xf numFmtId="164" fontId="0" fillId="0" borderId="0" xfId="0" applyNumberFormat="1" applyFill="1" applyBorder="1"/>
    <xf numFmtId="43" fontId="0" fillId="0" borderId="39" xfId="1" applyFont="1" applyFill="1" applyBorder="1"/>
    <xf numFmtId="166" fontId="0" fillId="0" borderId="0" xfId="0" applyNumberFormat="1" applyFill="1" applyBorder="1"/>
    <xf numFmtId="0" fontId="0" fillId="0" borderId="0" xfId="0" applyFont="1" applyFill="1"/>
    <xf numFmtId="43" fontId="0" fillId="0" borderId="0" xfId="1" applyFont="1" applyFill="1" applyBorder="1"/>
    <xf numFmtId="0" fontId="0" fillId="0" borderId="0" xfId="0" applyFill="1" applyBorder="1"/>
    <xf numFmtId="0" fontId="0" fillId="0" borderId="0" xfId="0"/>
    <xf numFmtId="0" fontId="0" fillId="0" borderId="0" xfId="0"/>
    <xf numFmtId="43" fontId="0" fillId="0" borderId="0" xfId="1" applyFont="1"/>
    <xf numFmtId="43" fontId="0" fillId="0" borderId="0" xfId="1" applyFont="1" applyFill="1"/>
    <xf numFmtId="178" fontId="0" fillId="0" borderId="39" xfId="1" applyNumberFormat="1" applyFont="1" applyFill="1" applyBorder="1"/>
    <xf numFmtId="0" fontId="0" fillId="0" borderId="16" xfId="0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8" fillId="34" borderId="19" xfId="11" applyFont="1" applyFill="1" applyBorder="1" applyAlignment="1">
      <alignment horizontal="center"/>
    </xf>
    <xf numFmtId="43" fontId="0" fillId="0" borderId="10" xfId="1" applyFont="1" applyBorder="1"/>
    <xf numFmtId="0" fontId="0" fillId="0" borderId="47" xfId="0" applyBorder="1"/>
    <xf numFmtId="43" fontId="0" fillId="0" borderId="17" xfId="1" applyFont="1" applyBorder="1"/>
    <xf numFmtId="0" fontId="0" fillId="0" borderId="48" xfId="0" applyBorder="1"/>
    <xf numFmtId="43" fontId="0" fillId="0" borderId="12" xfId="1" applyFont="1" applyBorder="1"/>
    <xf numFmtId="0" fontId="0" fillId="0" borderId="15" xfId="0" applyBorder="1" applyAlignment="1">
      <alignment horizontal="center"/>
    </xf>
    <xf numFmtId="0" fontId="18" fillId="34" borderId="15" xfId="11" applyFont="1" applyFill="1" applyBorder="1" applyAlignment="1">
      <alignment horizontal="center"/>
    </xf>
    <xf numFmtId="43" fontId="0" fillId="0" borderId="13" xfId="1" applyFont="1" applyBorder="1"/>
    <xf numFmtId="43" fontId="0" fillId="0" borderId="38" xfId="1" applyFont="1" applyFill="1" applyBorder="1"/>
    <xf numFmtId="43" fontId="0" fillId="0" borderId="11" xfId="0" applyNumberFormat="1" applyBorder="1"/>
    <xf numFmtId="43" fontId="0" fillId="0" borderId="17" xfId="0" applyNumberFormat="1" applyBorder="1"/>
    <xf numFmtId="43" fontId="0" fillId="0" borderId="13" xfId="0" applyNumberFormat="1" applyBorder="1"/>
    <xf numFmtId="4" fontId="0" fillId="0" borderId="0" xfId="0" applyNumberFormat="1" applyFill="1"/>
    <xf numFmtId="175" fontId="0" fillId="0" borderId="0" xfId="0" applyNumberFormat="1" applyFill="1"/>
    <xf numFmtId="184" fontId="0" fillId="0" borderId="0" xfId="0" applyNumberFormat="1" applyFill="1"/>
    <xf numFmtId="43" fontId="22" fillId="0" borderId="38" xfId="1" applyFont="1" applyFill="1" applyBorder="1"/>
    <xf numFmtId="43" fontId="1" fillId="0" borderId="0" xfId="1" applyFont="1" applyFill="1"/>
    <xf numFmtId="0" fontId="18" fillId="34" borderId="14" xfId="11" applyFont="1" applyFill="1" applyBorder="1" applyAlignment="1">
      <alignment horizontal="center"/>
    </xf>
    <xf numFmtId="0" fontId="18" fillId="34" borderId="49" xfId="11" applyFont="1" applyFill="1" applyBorder="1" applyAlignment="1">
      <alignment horizontal="center"/>
    </xf>
    <xf numFmtId="0" fontId="18" fillId="34" borderId="28" xfId="11" applyFont="1" applyFill="1" applyBorder="1" applyAlignment="1">
      <alignment horizontal="center"/>
    </xf>
    <xf numFmtId="43" fontId="0" fillId="0" borderId="10" xfId="0" applyNumberFormat="1" applyBorder="1"/>
    <xf numFmtId="43" fontId="0" fillId="0" borderId="0" xfId="0" applyNumberFormat="1" applyBorder="1"/>
    <xf numFmtId="43" fontId="0" fillId="0" borderId="12" xfId="0" applyNumberFormat="1" applyBorder="1"/>
    <xf numFmtId="0" fontId="0" fillId="0" borderId="0" xfId="0"/>
    <xf numFmtId="185" fontId="16" fillId="0" borderId="0" xfId="0" applyNumberFormat="1" applyFont="1"/>
    <xf numFmtId="186" fontId="0" fillId="0" borderId="0" xfId="0" applyNumberFormat="1"/>
    <xf numFmtId="0" fontId="0" fillId="0" borderId="41" xfId="0" applyBorder="1" applyAlignment="1">
      <alignment horizontal="center"/>
    </xf>
    <xf numFmtId="187" fontId="0" fillId="0" borderId="0" xfId="1" applyNumberFormat="1" applyFont="1"/>
    <xf numFmtId="178" fontId="0" fillId="0" borderId="13" xfId="1" applyNumberFormat="1" applyFont="1" applyBorder="1"/>
    <xf numFmtId="178" fontId="0" fillId="0" borderId="17" xfId="1" applyNumberFormat="1" applyFont="1" applyBorder="1"/>
    <xf numFmtId="0" fontId="23" fillId="0" borderId="0" xfId="0" applyFont="1"/>
    <xf numFmtId="178" fontId="0" fillId="0" borderId="11" xfId="1" applyNumberFormat="1" applyFont="1" applyBorder="1"/>
    <xf numFmtId="0" fontId="0" fillId="0" borderId="0" xfId="0"/>
    <xf numFmtId="14" fontId="0" fillId="0" borderId="0" xfId="0" applyNumberFormat="1"/>
    <xf numFmtId="4" fontId="0" fillId="0" borderId="0" xfId="0" applyNumberFormat="1"/>
    <xf numFmtId="0" fontId="16" fillId="0" borderId="0" xfId="0" applyFont="1"/>
    <xf numFmtId="0" fontId="0" fillId="0" borderId="0" xfId="0" applyFill="1"/>
    <xf numFmtId="43" fontId="0" fillId="0" borderId="0" xfId="1" applyFont="1"/>
    <xf numFmtId="174" fontId="0" fillId="0" borderId="0" xfId="1" applyNumberFormat="1" applyFont="1"/>
    <xf numFmtId="11" fontId="0" fillId="0" borderId="0" xfId="1" applyNumberFormat="1" applyFont="1"/>
    <xf numFmtId="11" fontId="0" fillId="0" borderId="0" xfId="0" applyNumberFormat="1"/>
    <xf numFmtId="43" fontId="0" fillId="0" borderId="0" xfId="0" applyNumberFormat="1"/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29" xfId="0" applyBorder="1" applyAlignment="1">
      <alignment horizontal="center"/>
    </xf>
    <xf numFmtId="178" fontId="0" fillId="0" borderId="34" xfId="1" applyNumberFormat="1" applyFont="1" applyBorder="1"/>
    <xf numFmtId="178" fontId="0" fillId="0" borderId="57" xfId="1" applyNumberFormat="1" applyFont="1" applyBorder="1"/>
    <xf numFmtId="178" fontId="0" fillId="0" borderId="58" xfId="1" applyNumberFormat="1" applyFont="1" applyBorder="1"/>
    <xf numFmtId="178" fontId="0" fillId="0" borderId="47" xfId="1" applyNumberFormat="1" applyFont="1" applyBorder="1"/>
    <xf numFmtId="178" fontId="0" fillId="0" borderId="48" xfId="1" applyNumberFormat="1" applyFont="1" applyBorder="1"/>
    <xf numFmtId="178" fontId="0" fillId="0" borderId="59" xfId="1" applyNumberFormat="1" applyFont="1" applyBorder="1"/>
    <xf numFmtId="178" fontId="0" fillId="0" borderId="60" xfId="1" applyNumberFormat="1" applyFont="1" applyBorder="1"/>
    <xf numFmtId="0" fontId="16" fillId="0" borderId="0" xfId="0" applyFont="1" applyAlignment="1">
      <alignment horizontal="center"/>
    </xf>
    <xf numFmtId="43" fontId="0" fillId="0" borderId="47" xfId="1" applyFont="1" applyBorder="1"/>
    <xf numFmtId="43" fontId="0" fillId="0" borderId="48" xfId="1" applyFont="1" applyBorder="1"/>
    <xf numFmtId="43" fontId="0" fillId="0" borderId="60" xfId="1" applyFont="1" applyBorder="1"/>
    <xf numFmtId="43" fontId="0" fillId="0" borderId="59" xfId="1" applyFont="1" applyBorder="1"/>
    <xf numFmtId="0" fontId="18" fillId="34" borderId="64" xfId="11" applyFont="1" applyFill="1" applyBorder="1" applyAlignment="1">
      <alignment horizontal="center"/>
    </xf>
    <xf numFmtId="0" fontId="18" fillId="34" borderId="65" xfId="11" applyFont="1" applyFill="1" applyBorder="1" applyAlignment="1">
      <alignment horizontal="center"/>
    </xf>
    <xf numFmtId="0" fontId="22" fillId="0" borderId="0" xfId="0" applyFont="1"/>
    <xf numFmtId="173" fontId="9" fillId="34" borderId="0" xfId="1" applyNumberFormat="1" applyFont="1" applyFill="1" applyBorder="1" applyAlignment="1">
      <alignment horizontal="center"/>
    </xf>
    <xf numFmtId="0" fontId="0" fillId="35" borderId="47" xfId="0" applyFill="1" applyBorder="1" applyAlignment="1">
      <alignment horizontal="center"/>
    </xf>
    <xf numFmtId="173" fontId="9" fillId="34" borderId="47" xfId="1" applyNumberFormat="1" applyFont="1" applyFill="1" applyBorder="1" applyAlignment="1">
      <alignment horizontal="center"/>
    </xf>
    <xf numFmtId="173" fontId="9" fillId="34" borderId="48" xfId="1" applyNumberFormat="1" applyFont="1" applyFill="1" applyBorder="1" applyAlignment="1">
      <alignment horizontal="center"/>
    </xf>
    <xf numFmtId="173" fontId="9" fillId="34" borderId="12" xfId="1" applyNumberFormat="1" applyFont="1" applyFill="1" applyBorder="1" applyAlignment="1">
      <alignment horizontal="center"/>
    </xf>
    <xf numFmtId="0" fontId="0" fillId="35" borderId="35" xfId="0" applyFill="1" applyBorder="1" applyAlignment="1">
      <alignment horizontal="center"/>
    </xf>
    <xf numFmtId="0" fontId="0" fillId="35" borderId="37" xfId="0" applyFill="1" applyBorder="1" applyAlignment="1">
      <alignment horizontal="center"/>
    </xf>
    <xf numFmtId="0" fontId="0" fillId="35" borderId="34" xfId="0" applyFont="1" applyFill="1" applyBorder="1" applyAlignment="1"/>
    <xf numFmtId="0" fontId="0" fillId="35" borderId="47" xfId="0" applyFont="1" applyFill="1" applyBorder="1" applyAlignment="1"/>
    <xf numFmtId="0" fontId="0" fillId="35" borderId="48" xfId="0" applyFont="1" applyFill="1" applyBorder="1" applyAlignment="1"/>
    <xf numFmtId="0" fontId="0" fillId="35" borderId="62" xfId="0" applyFill="1" applyBorder="1" applyAlignment="1">
      <alignment horizontal="center"/>
    </xf>
    <xf numFmtId="0" fontId="0" fillId="35" borderId="36" xfId="0" applyFill="1" applyBorder="1" applyAlignment="1">
      <alignment horizontal="center"/>
    </xf>
    <xf numFmtId="0" fontId="0" fillId="35" borderId="61" xfId="0" applyFill="1" applyBorder="1" applyAlignment="1">
      <alignment horizontal="center"/>
    </xf>
    <xf numFmtId="173" fontId="9" fillId="34" borderId="34" xfId="1" applyNumberFormat="1" applyFont="1" applyFill="1" applyBorder="1" applyAlignment="1">
      <alignment horizontal="center"/>
    </xf>
    <xf numFmtId="173" fontId="9" fillId="34" borderId="10" xfId="1" applyNumberFormat="1" applyFont="1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1" xfId="0" applyBorder="1" applyAlignment="1">
      <alignment horizontal="center"/>
    </xf>
    <xf numFmtId="43" fontId="0" fillId="0" borderId="34" xfId="1" applyFont="1" applyBorder="1"/>
    <xf numFmtId="0" fontId="21" fillId="0" borderId="0" xfId="0" applyFont="1" applyFill="1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35" borderId="34" xfId="0" applyFill="1" applyBorder="1" applyAlignment="1">
      <alignment horizontal="center"/>
    </xf>
    <xf numFmtId="0" fontId="0" fillId="35" borderId="48" xfId="0" applyFill="1" applyBorder="1" applyAlignment="1">
      <alignment horizontal="center"/>
    </xf>
    <xf numFmtId="0" fontId="18" fillId="34" borderId="69" xfId="11" applyFont="1" applyFill="1" applyBorder="1" applyAlignment="1">
      <alignment horizontal="center"/>
    </xf>
    <xf numFmtId="0" fontId="18" fillId="34" borderId="70" xfId="1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35" borderId="53" xfId="0" applyFill="1" applyBorder="1" applyAlignment="1">
      <alignment horizontal="center"/>
    </xf>
    <xf numFmtId="0" fontId="0" fillId="35" borderId="63" xfId="0" applyFill="1" applyBorder="1" applyAlignment="1">
      <alignment horizontal="center"/>
    </xf>
    <xf numFmtId="0" fontId="0" fillId="35" borderId="56" xfId="0" applyFill="1" applyBorder="1" applyAlignment="1">
      <alignment horizontal="center"/>
    </xf>
    <xf numFmtId="0" fontId="0" fillId="0" borderId="0" xfId="0"/>
    <xf numFmtId="14" fontId="18" fillId="33" borderId="34" xfId="11" applyNumberFormat="1" applyFont="1" applyFill="1" applyBorder="1" applyAlignment="1">
      <alignment horizontal="center"/>
    </xf>
    <xf numFmtId="171" fontId="9" fillId="5" borderId="11" xfId="11" applyNumberFormat="1" applyFont="1" applyBorder="1" applyAlignment="1">
      <alignment horizontal="center"/>
    </xf>
    <xf numFmtId="14" fontId="18" fillId="33" borderId="47" xfId="11" applyNumberFormat="1" applyFont="1" applyFill="1" applyBorder="1" applyAlignment="1">
      <alignment horizontal="center"/>
    </xf>
    <xf numFmtId="171" fontId="9" fillId="5" borderId="17" xfId="11" applyNumberFormat="1" applyFont="1" applyBorder="1" applyAlignment="1">
      <alignment horizontal="center"/>
    </xf>
    <xf numFmtId="14" fontId="18" fillId="33" borderId="48" xfId="11" applyNumberFormat="1" applyFont="1" applyFill="1" applyBorder="1" applyAlignment="1">
      <alignment horizontal="center"/>
    </xf>
    <xf numFmtId="171" fontId="9" fillId="5" borderId="13" xfId="11" applyNumberFormat="1" applyFont="1" applyBorder="1" applyAlignment="1">
      <alignment horizontal="center"/>
    </xf>
    <xf numFmtId="0" fontId="0" fillId="0" borderId="0" xfId="0"/>
    <xf numFmtId="4" fontId="0" fillId="0" borderId="0" xfId="0" applyNumberFormat="1"/>
    <xf numFmtId="0" fontId="0" fillId="0" borderId="0" xfId="0"/>
    <xf numFmtId="43" fontId="0" fillId="0" borderId="0" xfId="1" applyFont="1"/>
    <xf numFmtId="3" fontId="0" fillId="0" borderId="0" xfId="0" applyNumberFormat="1"/>
    <xf numFmtId="0" fontId="0" fillId="0" borderId="0" xfId="0" applyFont="1"/>
    <xf numFmtId="0" fontId="0" fillId="0" borderId="0" xfId="0"/>
    <xf numFmtId="0" fontId="16" fillId="0" borderId="0" xfId="0" applyFont="1"/>
    <xf numFmtId="4" fontId="0" fillId="0" borderId="0" xfId="0" applyNumberFormat="1"/>
    <xf numFmtId="0" fontId="0" fillId="0" borderId="0" xfId="0" applyBorder="1"/>
    <xf numFmtId="43" fontId="0" fillId="0" borderId="0" xfId="0" applyNumberFormat="1"/>
    <xf numFmtId="178" fontId="0" fillId="0" borderId="38" xfId="1" applyNumberFormat="1" applyFont="1" applyBorder="1"/>
    <xf numFmtId="178" fontId="0" fillId="0" borderId="39" xfId="1" applyNumberFormat="1" applyFont="1" applyBorder="1"/>
    <xf numFmtId="168" fontId="0" fillId="0" borderId="0" xfId="1" applyNumberFormat="1" applyFont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43" fontId="0" fillId="0" borderId="17" xfId="1" applyFont="1" applyBorder="1"/>
    <xf numFmtId="0" fontId="0" fillId="0" borderId="15" xfId="0" applyBorder="1" applyAlignment="1">
      <alignment horizontal="center"/>
    </xf>
    <xf numFmtId="43" fontId="0" fillId="0" borderId="13" xfId="1" applyFont="1" applyBorder="1"/>
    <xf numFmtId="43" fontId="0" fillId="0" borderId="11" xfId="1" applyFont="1" applyBorder="1"/>
    <xf numFmtId="14" fontId="0" fillId="0" borderId="12" xfId="0" applyNumberFormat="1" applyBorder="1" applyAlignment="1">
      <alignment horizontal="center"/>
    </xf>
    <xf numFmtId="14" fontId="0" fillId="0" borderId="10" xfId="1" applyNumberFormat="1" applyFont="1" applyBorder="1" applyAlignment="1">
      <alignment horizontal="center"/>
    </xf>
    <xf numFmtId="14" fontId="0" fillId="0" borderId="12" xfId="1" applyNumberFormat="1" applyFont="1" applyBorder="1" applyAlignment="1">
      <alignment horizontal="center"/>
    </xf>
    <xf numFmtId="14" fontId="0" fillId="0" borderId="0" xfId="1" applyNumberFormat="1" applyFon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78" fontId="0" fillId="0" borderId="17" xfId="0" applyNumberFormat="1" applyBorder="1"/>
    <xf numFmtId="14" fontId="0" fillId="0" borderId="0" xfId="0" applyNumberFormat="1" applyBorder="1" applyAlignment="1">
      <alignment horizontal="center"/>
    </xf>
    <xf numFmtId="0" fontId="0" fillId="0" borderId="0" xfId="0"/>
    <xf numFmtId="43" fontId="0" fillId="0" borderId="0" xfId="1" applyFont="1"/>
    <xf numFmtId="0" fontId="18" fillId="34" borderId="10" xfId="11" applyFont="1" applyFill="1" applyBorder="1" applyAlignment="1">
      <alignment horizontal="center"/>
    </xf>
    <xf numFmtId="0" fontId="18" fillId="34" borderId="11" xfId="11" applyFont="1" applyFill="1" applyBorder="1" applyAlignment="1">
      <alignment horizontal="center"/>
    </xf>
    <xf numFmtId="43" fontId="0" fillId="0" borderId="0" xfId="1" applyFont="1" applyBorder="1"/>
    <xf numFmtId="178" fontId="0" fillId="0" borderId="39" xfId="1" applyNumberFormat="1" applyFont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4" xfId="0" applyBorder="1"/>
    <xf numFmtId="0" fontId="0" fillId="0" borderId="47" xfId="0" applyBorder="1"/>
    <xf numFmtId="43" fontId="0" fillId="0" borderId="17" xfId="1" applyFont="1" applyBorder="1"/>
    <xf numFmtId="0" fontId="0" fillId="0" borderId="48" xfId="0" applyBorder="1"/>
    <xf numFmtId="0" fontId="0" fillId="0" borderId="15" xfId="0" applyBorder="1" applyAlignment="1">
      <alignment horizontal="center"/>
    </xf>
    <xf numFmtId="0" fontId="18" fillId="34" borderId="34" xfId="11" applyFont="1" applyFill="1" applyBorder="1" applyAlignment="1">
      <alignment horizontal="center"/>
    </xf>
    <xf numFmtId="43" fontId="0" fillId="0" borderId="13" xfId="1" applyFont="1" applyBorder="1"/>
    <xf numFmtId="43" fontId="0" fillId="0" borderId="11" xfId="1" applyFont="1" applyBorder="1"/>
    <xf numFmtId="11" fontId="0" fillId="0" borderId="0" xfId="0" applyNumberFormat="1" applyFill="1"/>
    <xf numFmtId="43" fontId="0" fillId="0" borderId="11" xfId="0" applyNumberFormat="1" applyBorder="1"/>
    <xf numFmtId="43" fontId="0" fillId="0" borderId="17" xfId="0" applyNumberFormat="1" applyBorder="1"/>
    <xf numFmtId="43" fontId="0" fillId="0" borderId="10" xfId="0" applyNumberFormat="1" applyBorder="1"/>
    <xf numFmtId="43" fontId="0" fillId="0" borderId="0" xfId="0" applyNumberFormat="1" applyBorder="1"/>
    <xf numFmtId="43" fontId="0" fillId="0" borderId="10" xfId="1" applyFont="1" applyBorder="1"/>
    <xf numFmtId="43" fontId="0" fillId="0" borderId="12" xfId="1" applyFont="1" applyBorder="1"/>
    <xf numFmtId="0" fontId="0" fillId="0" borderId="0" xfId="0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16" fillId="35" borderId="34" xfId="0" applyFont="1" applyFill="1" applyBorder="1" applyAlignment="1">
      <alignment horizontal="center"/>
    </xf>
    <xf numFmtId="0" fontId="16" fillId="35" borderId="10" xfId="0" applyFont="1" applyFill="1" applyBorder="1" applyAlignment="1">
      <alignment horizontal="center"/>
    </xf>
    <xf numFmtId="0" fontId="16" fillId="35" borderId="11" xfId="0" applyFont="1" applyFill="1" applyBorder="1" applyAlignment="1">
      <alignment horizontal="center"/>
    </xf>
    <xf numFmtId="0" fontId="16" fillId="0" borderId="43" xfId="0" applyFont="1" applyBorder="1" applyAlignment="1">
      <alignment horizontal="center" vertical="center" textRotation="90"/>
    </xf>
    <xf numFmtId="0" fontId="16" fillId="0" borderId="44" xfId="0" applyFont="1" applyBorder="1" applyAlignment="1">
      <alignment horizontal="center" vertical="center" textRotation="90"/>
    </xf>
    <xf numFmtId="0" fontId="16" fillId="0" borderId="45" xfId="0" applyFont="1" applyBorder="1" applyAlignment="1">
      <alignment horizontal="center" vertical="center" textRotation="90"/>
    </xf>
    <xf numFmtId="0" fontId="16" fillId="0" borderId="43" xfId="0" applyFont="1" applyBorder="1" applyAlignment="1">
      <alignment horizontal="center" vertical="center" textRotation="90" wrapText="1"/>
    </xf>
    <xf numFmtId="0" fontId="16" fillId="0" borderId="44" xfId="0" applyFont="1" applyBorder="1" applyAlignment="1">
      <alignment horizontal="center" vertical="center" textRotation="90" wrapText="1"/>
    </xf>
    <xf numFmtId="0" fontId="16" fillId="0" borderId="45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5" xfId="0" applyBorder="1" applyAlignment="1">
      <alignment horizontal="center"/>
    </xf>
    <xf numFmtId="0" fontId="16" fillId="35" borderId="14" xfId="0" applyFont="1" applyFill="1" applyBorder="1" applyAlignment="1">
      <alignment horizontal="center"/>
    </xf>
    <xf numFmtId="0" fontId="16" fillId="35" borderId="28" xfId="0" applyFont="1" applyFill="1" applyBorder="1" applyAlignment="1">
      <alignment horizontal="center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5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44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2">
    <dxf>
      <font>
        <strike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C2:AD25"/>
  <sheetViews>
    <sheetView topLeftCell="B1" workbookViewId="0">
      <selection activeCell="J7" sqref="J7"/>
    </sheetView>
  </sheetViews>
  <sheetFormatPr defaultRowHeight="15"/>
  <cols>
    <col min="3" max="3" width="19.7109375" customWidth="1"/>
    <col min="4" max="5" width="10" bestFit="1" customWidth="1"/>
    <col min="6" max="6" width="8.85546875" bestFit="1" customWidth="1"/>
    <col min="7" max="8" width="10" bestFit="1" customWidth="1"/>
    <col min="9" max="9" width="8.85546875" bestFit="1" customWidth="1"/>
    <col min="10" max="10" width="17.42578125" bestFit="1" customWidth="1"/>
    <col min="11" max="11" width="14.7109375" bestFit="1" customWidth="1"/>
    <col min="12" max="12" width="8.85546875" bestFit="1" customWidth="1"/>
    <col min="13" max="14" width="10" bestFit="1" customWidth="1"/>
    <col min="15" max="15" width="8.85546875" bestFit="1" customWidth="1"/>
    <col min="16" max="17" width="11" bestFit="1" customWidth="1"/>
    <col min="18" max="18" width="8.85546875" bestFit="1" customWidth="1"/>
  </cols>
  <sheetData>
    <row r="2" spans="3:30">
      <c r="C2" s="122" t="s">
        <v>302</v>
      </c>
    </row>
    <row r="4" spans="3:30" ht="15.75" thickBot="1"/>
    <row r="5" spans="3:30">
      <c r="C5" s="235" t="s">
        <v>123</v>
      </c>
      <c r="D5" s="303" t="str">
        <f ca="1">Pricing!H2</f>
        <v>PV</v>
      </c>
      <c r="E5" s="303"/>
      <c r="F5" s="304"/>
      <c r="G5" s="178"/>
      <c r="H5" s="178"/>
    </row>
    <row r="6" spans="3:30" ht="15.75" thickBot="1">
      <c r="C6" s="236">
        <f ca="1">Pricing!E2</f>
        <v>1E-4</v>
      </c>
      <c r="D6" s="218" t="str">
        <f ca="1">Pricing!H3</f>
        <v>Min Error</v>
      </c>
      <c r="E6" s="218" t="str">
        <f ca="1">Pricing!I3</f>
        <v>Max Error</v>
      </c>
      <c r="F6" s="219" t="str">
        <f ca="1">Pricing!J3</f>
        <v>Pass/Fail</v>
      </c>
      <c r="G6" s="178"/>
      <c r="H6" s="178"/>
      <c r="I6" s="178"/>
    </row>
    <row r="7" spans="3:30">
      <c r="C7" s="208" t="str">
        <f ca="1">Pricing!G4</f>
        <v>GB</v>
      </c>
      <c r="D7" s="220">
        <f ca="1">Pricing!H4</f>
        <v>-2.8223730623722076E-6</v>
      </c>
      <c r="E7" s="221">
        <f ca="1">Pricing!I4</f>
        <v>8.0063939094543457E-5</v>
      </c>
      <c r="F7" s="225" t="str">
        <f ca="1">Pricing!J4</f>
        <v>Pass</v>
      </c>
      <c r="G7" s="178"/>
      <c r="H7" s="178"/>
      <c r="I7" s="178"/>
    </row>
    <row r="8" spans="3:30">
      <c r="C8" s="208" t="str">
        <f ca="1">Pricing!G5</f>
        <v>EUR</v>
      </c>
      <c r="D8" s="209">
        <f ca="1">Pricing!H5</f>
        <v>-2.2351741790769999E-8</v>
      </c>
      <c r="E8" s="207">
        <f ca="1">Pricing!I5</f>
        <v>1.73225998878479E-7</v>
      </c>
      <c r="F8" s="228" t="str">
        <f ca="1">Pricing!J5</f>
        <v>Pass</v>
      </c>
      <c r="G8" s="178"/>
      <c r="H8" s="178"/>
      <c r="I8" s="178"/>
    </row>
    <row r="9" spans="3:30">
      <c r="C9" s="208" t="str">
        <f ca="1">Pricing!G6</f>
        <v>FR</v>
      </c>
      <c r="D9" s="209">
        <f ca="1">Pricing!H6</f>
        <v>-61461.17370820744</v>
      </c>
      <c r="E9" s="207">
        <f ca="1">Pricing!I6</f>
        <v>16512.043653413653</v>
      </c>
      <c r="F9" s="228" t="str">
        <f ca="1">Pricing!J6</f>
        <v>Fail</v>
      </c>
      <c r="G9" s="178"/>
      <c r="H9" s="178"/>
      <c r="I9" s="178"/>
    </row>
    <row r="10" spans="3:30" ht="15.75" thickBot="1">
      <c r="C10" s="234" t="str">
        <f ca="1">Pricing!G7</f>
        <v>US</v>
      </c>
      <c r="D10" s="210">
        <f ca="1">Pricing!H7</f>
        <v>-3847.8654762138613</v>
      </c>
      <c r="E10" s="211">
        <f ca="1">Pricing!I7</f>
        <v>29677.795156642562</v>
      </c>
      <c r="F10" s="229" t="str">
        <f ca="1">Pricing!J7</f>
        <v>Fail</v>
      </c>
      <c r="G10" s="178"/>
      <c r="H10" s="178"/>
      <c r="I10" s="178"/>
    </row>
    <row r="11" spans="3:30">
      <c r="C11" s="178"/>
      <c r="D11" s="178"/>
      <c r="E11" s="178"/>
      <c r="F11" s="178"/>
      <c r="G11" s="178"/>
      <c r="H11" s="178"/>
      <c r="I11" s="178"/>
    </row>
    <row r="12" spans="3:30" ht="15.75" thickBot="1">
      <c r="C12" s="178"/>
      <c r="D12" s="178"/>
      <c r="E12" s="178"/>
      <c r="F12" s="178"/>
      <c r="G12" s="178"/>
      <c r="H12" s="178"/>
      <c r="I12" s="178"/>
    </row>
    <row r="13" spans="3:30">
      <c r="C13" s="235" t="s">
        <v>123</v>
      </c>
      <c r="D13" s="302" t="str">
        <f ca="1">'Inflation Sens - Compare'!C3</f>
        <v>Par Delta</v>
      </c>
      <c r="E13" s="303"/>
      <c r="F13" s="303"/>
      <c r="G13" s="302" t="str">
        <f ca="1">'Inflation Sens - Compare'!F3</f>
        <v>CPI Rate Delta</v>
      </c>
      <c r="H13" s="303"/>
      <c r="I13" s="304"/>
      <c r="J13" s="302" t="str">
        <f ca="1">'Inflation Sens - Compare'!I3</f>
        <v>CPI Delta</v>
      </c>
      <c r="K13" s="303"/>
      <c r="L13" s="304"/>
      <c r="M13" s="302" t="str">
        <f ca="1">'Inflation Sens - Compare'!L3</f>
        <v>Par Gamma</v>
      </c>
      <c r="N13" s="303"/>
      <c r="O13" s="304"/>
      <c r="P13" s="302" t="str">
        <f ca="1">'Inflation Sens - Compare'!O3</f>
        <v>CPI Rate Gamma</v>
      </c>
      <c r="Q13" s="303"/>
      <c r="R13" s="304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</row>
    <row r="14" spans="3:30" ht="15.75" thickBot="1">
      <c r="C14" s="236">
        <f ca="1">'Inflation Sens - Compare'!F1</f>
        <v>1E-4</v>
      </c>
      <c r="D14" s="217" t="str">
        <f ca="1">'Inflation Sens - Compare'!C4</f>
        <v>Min Error</v>
      </c>
      <c r="E14" s="218" t="str">
        <f ca="1">'Inflation Sens - Compare'!D4</f>
        <v>Max Error</v>
      </c>
      <c r="F14" s="218" t="str">
        <f ca="1">'Inflation Sens - Compare'!E4</f>
        <v>Pass/Fail</v>
      </c>
      <c r="G14" s="217" t="str">
        <f ca="1">'Inflation Sens - Compare'!F4</f>
        <v>Min Error</v>
      </c>
      <c r="H14" s="218" t="str">
        <f ca="1">'Inflation Sens - Compare'!G4</f>
        <v>Max Error</v>
      </c>
      <c r="I14" s="219" t="str">
        <f ca="1">'Inflation Sens - Compare'!H4</f>
        <v>Pass/Fail</v>
      </c>
      <c r="J14" s="239" t="str">
        <f ca="1">'Inflation Sens - Compare'!I4</f>
        <v>Min Error</v>
      </c>
      <c r="K14" s="240" t="str">
        <f ca="1">'Inflation Sens - Compare'!J4</f>
        <v>Max Error</v>
      </c>
      <c r="L14" s="241" t="str">
        <f ca="1">'Inflation Sens - Compare'!K4</f>
        <v>Pass/Fail</v>
      </c>
      <c r="M14" s="239" t="str">
        <f ca="1">'Inflation Sens - Compare'!L4</f>
        <v>Min Error</v>
      </c>
      <c r="N14" s="240" t="str">
        <f ca="1">'Inflation Sens - Compare'!M4</f>
        <v>Max Error</v>
      </c>
      <c r="O14" s="241" t="str">
        <f ca="1">'Inflation Sens - Compare'!N4</f>
        <v>Pass/Fail</v>
      </c>
      <c r="P14" s="217" t="str">
        <f ca="1">'Inflation Sens - Compare'!O4</f>
        <v>Min Error</v>
      </c>
      <c r="Q14" s="218" t="str">
        <f ca="1">'Inflation Sens - Compare'!P4</f>
        <v>Max Error</v>
      </c>
      <c r="R14" s="219" t="str">
        <f ca="1">'Inflation Sens - Compare'!Q4</f>
        <v>Pass/Fail</v>
      </c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</row>
    <row r="15" spans="3:30">
      <c r="C15" s="214" t="str">
        <f ca="1">'Inflation Sens - Compare'!B5</f>
        <v>GB RPI AI 2M - IM</v>
      </c>
      <c r="D15" s="220">
        <f ca="1">'Inflation Sens - Compare'!C5</f>
        <v>-6.9267116487026215E-9</v>
      </c>
      <c r="E15" s="221">
        <f ca="1">'Inflation Sens - Compare'!D5</f>
        <v>9.7497832030057907E-9</v>
      </c>
      <c r="F15" s="237" t="str">
        <f ca="1">'Inflation Sens - Compare'!E5</f>
        <v>Pass</v>
      </c>
      <c r="G15" s="220">
        <f ca="1">'Inflation Sens - Compare'!F5</f>
        <v>-5.6554563343524933E-7</v>
      </c>
      <c r="H15" s="221">
        <f ca="1">'Inflation Sens - Compare'!G5</f>
        <v>0</v>
      </c>
      <c r="I15" s="230" t="str">
        <f ca="1">'Inflation Sens - Compare'!H5</f>
        <v>Pass</v>
      </c>
      <c r="J15" s="221">
        <f ca="1">'Inflation Sens - Compare'!I5</f>
        <v>-892875.86315599596</v>
      </c>
      <c r="K15" s="221">
        <f ca="1">'Inflation Sens - Compare'!J5</f>
        <v>12528.67402815583</v>
      </c>
      <c r="L15" s="222" t="str">
        <f ca="1">'Inflation Sens - Compare'!K5</f>
        <v>Fail</v>
      </c>
      <c r="M15" s="220">
        <f ca="1">'Inflation Sens - Compare'!L5</f>
        <v>-0.34676738324128564</v>
      </c>
      <c r="N15" s="221">
        <f ca="1">'Inflation Sens - Compare'!M5</f>
        <v>0.2213542304702969</v>
      </c>
      <c r="O15" s="222" t="str">
        <f ca="1">'Inflation Sens - Compare'!N5</f>
        <v>Fail</v>
      </c>
      <c r="P15" s="220">
        <f ca="1">'Inflation Sens - Compare'!O5</f>
        <v>-85.971315780524151</v>
      </c>
      <c r="Q15" s="221">
        <f ca="1">'Inflation Sens - Compare'!P5</f>
        <v>91.255909362380862</v>
      </c>
      <c r="R15" s="230" t="str">
        <f ca="1">'Inflation Sens - Compare'!Q5</f>
        <v>Fail</v>
      </c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</row>
    <row r="16" spans="3:30">
      <c r="C16" s="215" t="str">
        <f ca="1">'Inflation Sens - Compare'!B6</f>
        <v>HICP CPI XT NR - IM</v>
      </c>
      <c r="D16" s="209">
        <f ca="1">'Inflation Sens - Compare'!C6</f>
        <v>-2.9103830456733704E-10</v>
      </c>
      <c r="E16" s="207">
        <f ca="1">'Inflation Sens - Compare'!D6</f>
        <v>1.7462298274040222E-10</v>
      </c>
      <c r="F16" s="99" t="str">
        <f ca="1">'Inflation Sens - Compare'!E6</f>
        <v>Pass</v>
      </c>
      <c r="G16" s="209">
        <f ca="1">'Inflation Sens - Compare'!F6</f>
        <v>-3.092281986027956E-11</v>
      </c>
      <c r="H16" s="207">
        <f ca="1">'Inflation Sens - Compare'!G6</f>
        <v>4.9476511776447296E-10</v>
      </c>
      <c r="I16" s="231" t="str">
        <f ca="1">'Inflation Sens - Compare'!H6</f>
        <v>Pass</v>
      </c>
      <c r="J16" s="207">
        <f ca="1">'Inflation Sens - Compare'!I6</f>
        <v>-1564134.1657293013</v>
      </c>
      <c r="K16" s="207">
        <f ca="1">'Inflation Sens - Compare'!J6</f>
        <v>26411.448076480068</v>
      </c>
      <c r="L16" s="98" t="str">
        <f ca="1">'Inflation Sens - Compare'!K6</f>
        <v>Fail</v>
      </c>
      <c r="M16" s="209">
        <f ca="1">'Inflation Sens - Compare'!L6</f>
        <v>-8.5998746018276506E-2</v>
      </c>
      <c r="N16" s="207">
        <f ca="1">'Inflation Sens - Compare'!M6</f>
        <v>5.5751223293782459E-2</v>
      </c>
      <c r="O16" s="98" t="str">
        <f ca="1">'Inflation Sens - Compare'!N6</f>
        <v>Fail</v>
      </c>
      <c r="P16" s="209">
        <f ca="1">'Inflation Sens - Compare'!O6</f>
        <v>-40.166801984662584</v>
      </c>
      <c r="Q16" s="207">
        <f ca="1">'Inflation Sens - Compare'!P6</f>
        <v>52.181289589035487</v>
      </c>
      <c r="R16" s="231" t="str">
        <f ca="1">'Inflation Sens - Compare'!Q6</f>
        <v>Fail</v>
      </c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</row>
    <row r="17" spans="3:30">
      <c r="C17" s="215" t="str">
        <f ca="1">'Inflation Sens - Compare'!B7</f>
        <v>FR CPI XT NR - IM</v>
      </c>
      <c r="D17" s="209">
        <f ca="1">'Inflation Sens - Compare'!C7</f>
        <v>-292323.99312590837</v>
      </c>
      <c r="E17" s="207">
        <f ca="1">'Inflation Sens - Compare'!D7</f>
        <v>2.544678864069283E-6</v>
      </c>
      <c r="F17" s="99" t="str">
        <f ca="1">'Inflation Sens - Compare'!E7</f>
        <v>Fail</v>
      </c>
      <c r="G17" s="209">
        <f ca="1">'Inflation Sens - Compare'!F7</f>
        <v>-291081.12432329898</v>
      </c>
      <c r="H17" s="207">
        <f ca="1">'Inflation Sens - Compare'!G7</f>
        <v>2.544678864069283E-6</v>
      </c>
      <c r="I17" s="231" t="str">
        <f ca="1">'Inflation Sens - Compare'!H7</f>
        <v>Fail</v>
      </c>
      <c r="J17" s="207">
        <f ca="1">'Inflation Sens - Compare'!I7</f>
        <v>-6489095.2917055879</v>
      </c>
      <c r="K17" s="207">
        <f ca="1">'Inflation Sens - Compare'!J7</f>
        <v>21936.967690461286</v>
      </c>
      <c r="L17" s="98" t="str">
        <f ca="1">'Inflation Sens - Compare'!K7</f>
        <v>Fail</v>
      </c>
      <c r="M17" s="209">
        <f ca="1">'Inflation Sens - Compare'!L7</f>
        <v>-829.41087342026697</v>
      </c>
      <c r="N17" s="207">
        <f ca="1">'Inflation Sens - Compare'!M7</f>
        <v>0.77728395131734374</v>
      </c>
      <c r="O17" s="98" t="str">
        <f ca="1">'Inflation Sens - Compare'!N7</f>
        <v>Fail</v>
      </c>
      <c r="P17" s="209">
        <f ca="1">'Inflation Sens - Compare'!O7</f>
        <v>-805.20534492153706</v>
      </c>
      <c r="Q17" s="207">
        <f ca="1">'Inflation Sens - Compare'!P7</f>
        <v>23.535341383106953</v>
      </c>
      <c r="R17" s="231" t="str">
        <f ca="1">'Inflation Sens - Compare'!Q7</f>
        <v>Fail</v>
      </c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</row>
    <row r="18" spans="3:30" ht="15.75" thickBot="1">
      <c r="C18" s="216" t="str">
        <f ca="1">'Inflation Sens - Compare'!B8</f>
        <v>US CPI AI NSA - IM</v>
      </c>
      <c r="D18" s="210">
        <f ca="1">'Inflation Sens - Compare'!C8</f>
        <v>-153150.59573117923</v>
      </c>
      <c r="E18" s="211">
        <f ca="1">'Inflation Sens - Compare'!D8</f>
        <v>0</v>
      </c>
      <c r="F18" s="238" t="str">
        <f ca="1">'Inflation Sens - Compare'!E8</f>
        <v>Fail</v>
      </c>
      <c r="G18" s="210">
        <f ca="1">'Inflation Sens - Compare'!F8</f>
        <v>-150728.80265506476</v>
      </c>
      <c r="H18" s="211">
        <f ca="1">'Inflation Sens - Compare'!G8</f>
        <v>0</v>
      </c>
      <c r="I18" s="232" t="str">
        <f ca="1">'Inflation Sens - Compare'!H8</f>
        <v>Fail</v>
      </c>
      <c r="J18" s="211">
        <f ca="1">'Inflation Sens - Compare'!I8</f>
        <v>-8594358.4235059507</v>
      </c>
      <c r="K18" s="211">
        <f ca="1">'Inflation Sens - Compare'!J8</f>
        <v>0</v>
      </c>
      <c r="L18" s="223" t="str">
        <f ca="1">'Inflation Sens - Compare'!K8</f>
        <v>Fail</v>
      </c>
      <c r="M18" s="210">
        <f ca="1">'Inflation Sens - Compare'!L8</f>
        <v>-117.08412349435216</v>
      </c>
      <c r="N18" s="211">
        <f ca="1">'Inflation Sens - Compare'!M8</f>
        <v>1.5739443666644188</v>
      </c>
      <c r="O18" s="223" t="str">
        <f ca="1">'Inflation Sens - Compare'!N8</f>
        <v>Fail</v>
      </c>
      <c r="P18" s="210">
        <f ca="1">'Inflation Sens - Compare'!O8</f>
        <v>-112.01381494063847</v>
      </c>
      <c r="Q18" s="211">
        <f ca="1">'Inflation Sens - Compare'!P8</f>
        <v>1.4682913541733456</v>
      </c>
      <c r="R18" s="232" t="str">
        <f ca="1">'Inflation Sens - Compare'!Q8</f>
        <v>Fail</v>
      </c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</row>
    <row r="19" spans="3:30"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</row>
    <row r="20" spans="3:30" ht="15.75" thickBot="1"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</row>
    <row r="21" spans="3:30">
      <c r="C21" s="235" t="s">
        <v>123</v>
      </c>
      <c r="D21" s="302" t="str">
        <f ca="1">'Interest Rate Sens - Compare'!C3</f>
        <v>ZC Delta</v>
      </c>
      <c r="E21" s="303"/>
      <c r="F21" s="303"/>
      <c r="G21" s="302" t="str">
        <f ca="1">'Interest Rate Sens - Compare'!F3</f>
        <v>ZC Gamma</v>
      </c>
      <c r="H21" s="303"/>
      <c r="I21" s="304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</row>
    <row r="22" spans="3:30" ht="15.75" thickBot="1">
      <c r="C22" s="236">
        <f ca="1">'Interest Rate Sens - Compare'!F1</f>
        <v>5.0000000000000001E-3</v>
      </c>
      <c r="D22" s="217" t="str">
        <f ca="1">'Interest Rate Sens - Compare'!C4</f>
        <v>Min Error</v>
      </c>
      <c r="E22" s="218" t="str">
        <f ca="1">'Interest Rate Sens - Compare'!D4</f>
        <v>Max Error</v>
      </c>
      <c r="F22" s="213" t="str">
        <f ca="1">'Interest Rate Sens - Compare'!E4</f>
        <v>Pass/Fail</v>
      </c>
      <c r="G22" s="217" t="str">
        <f ca="1">'Interest Rate Sens - Compare'!F4</f>
        <v>Min Error</v>
      </c>
      <c r="H22" s="218" t="str">
        <f ca="1">'Interest Rate Sens - Compare'!G4</f>
        <v>Max Error</v>
      </c>
      <c r="I22" s="219" t="str">
        <f ca="1">'Interest Rate Sens - Compare'!H4</f>
        <v>Pass/Fail</v>
      </c>
      <c r="J22" s="178"/>
      <c r="K22" s="178"/>
      <c r="L22" s="178"/>
      <c r="M22" s="178"/>
    </row>
    <row r="23" spans="3:30">
      <c r="C23" s="214" t="str">
        <f ca="1">'Interest Rate Sens - Compare'!B5</f>
        <v>EUR ZERO EONIA</v>
      </c>
      <c r="D23" s="220">
        <f ca="1">'Interest Rate Sens - Compare'!C5</f>
        <v>-57197.869615840085</v>
      </c>
      <c r="E23" s="221">
        <f ca="1">'Interest Rate Sens - Compare'!D5</f>
        <v>8495.1003286451523</v>
      </c>
      <c r="F23" s="222" t="str">
        <f ca="1">'Interest Rate Sens - Compare'!E5</f>
        <v>Fail</v>
      </c>
      <c r="G23" s="220">
        <f ca="1">'Interest Rate Sens - Compare'!F5</f>
        <v>-4.5704483242388996</v>
      </c>
      <c r="H23" s="221">
        <f ca="1">'Interest Rate Sens - Compare'!G5</f>
        <v>173.21010857730624</v>
      </c>
      <c r="I23" s="230" t="str">
        <f ca="1">'Interest Rate Sens - Compare'!H5</f>
        <v>Fail</v>
      </c>
      <c r="J23" s="178"/>
      <c r="K23" s="178"/>
      <c r="L23" s="178"/>
      <c r="M23" s="178"/>
    </row>
    <row r="24" spans="3:30">
      <c r="C24" s="215" t="str">
        <f ca="1">'Interest Rate Sens - Compare'!B6</f>
        <v>GBP ZERO SONIA</v>
      </c>
      <c r="D24" s="209">
        <f ca="1">'Interest Rate Sens - Compare'!C6</f>
        <v>-1.7949787434190512E-7</v>
      </c>
      <c r="E24" s="207">
        <f ca="1">'Interest Rate Sens - Compare'!D6</f>
        <v>2.9578222893178463E-7</v>
      </c>
      <c r="F24" s="98" t="str">
        <f ca="1">'Interest Rate Sens - Compare'!E6</f>
        <v>Pass</v>
      </c>
      <c r="G24" s="209">
        <f ca="1">'Interest Rate Sens - Compare'!F6</f>
        <v>-1.6791139806696109E-9</v>
      </c>
      <c r="H24" s="207">
        <f ca="1">'Interest Rate Sens - Compare'!G6</f>
        <v>8.7950212571286102E-3</v>
      </c>
      <c r="I24" s="231" t="str">
        <f ca="1">'Interest Rate Sens - Compare'!H6</f>
        <v>Fail</v>
      </c>
      <c r="J24" s="178"/>
      <c r="K24" s="178"/>
      <c r="L24" s="178"/>
      <c r="M24" s="178"/>
    </row>
    <row r="25" spans="3:30" ht="15.75" thickBot="1">
      <c r="C25" s="216" t="str">
        <f ca="1">'Interest Rate Sens - Compare'!B7</f>
        <v>USD ZERO FEDFUNDS</v>
      </c>
      <c r="D25" s="210">
        <f ca="1">'Interest Rate Sens - Compare'!C7</f>
        <v>-395.21998563716727</v>
      </c>
      <c r="E25" s="211">
        <f ca="1">'Interest Rate Sens - Compare'!D7</f>
        <v>27846.801783979699</v>
      </c>
      <c r="F25" s="223" t="str">
        <f ca="1">'Interest Rate Sens - Compare'!E7</f>
        <v>Fail</v>
      </c>
      <c r="G25" s="210">
        <f ca="1">'Interest Rate Sens - Compare'!F7</f>
        <v>-25.107897170195201</v>
      </c>
      <c r="H25" s="211">
        <f ca="1">'Interest Rate Sens - Compare'!G7</f>
        <v>2.5828747762238813E-2</v>
      </c>
      <c r="I25" s="232" t="str">
        <f ca="1">'Interest Rate Sens - Compare'!H7</f>
        <v>Fail</v>
      </c>
    </row>
  </sheetData>
  <mergeCells count="8">
    <mergeCell ref="P13:R13"/>
    <mergeCell ref="D21:F21"/>
    <mergeCell ref="G21:I21"/>
    <mergeCell ref="D5:F5"/>
    <mergeCell ref="D13:F13"/>
    <mergeCell ref="G13:I13"/>
    <mergeCell ref="J13:L13"/>
    <mergeCell ref="M13:O13"/>
  </mergeCells>
  <conditionalFormatting sqref="F7:F10 F15:F18 I15:I18 L15:L18 O15:O18 R15:R18">
    <cfRule type="cellIs" dxfId="11" priority="23" operator="equal">
      <formula>"Pass"</formula>
    </cfRule>
    <cfRule type="cellIs" dxfId="10" priority="24" operator="equal">
      <formula>"Fail"</formula>
    </cfRule>
  </conditionalFormatting>
  <conditionalFormatting sqref="F23:F25">
    <cfRule type="cellIs" dxfId="9" priority="3" operator="equal">
      <formula>"Pass"</formula>
    </cfRule>
    <cfRule type="cellIs" dxfId="8" priority="4" operator="equal">
      <formula>"Fail"</formula>
    </cfRule>
  </conditionalFormatting>
  <conditionalFormatting sqref="I23:I25">
    <cfRule type="cellIs" dxfId="7" priority="1" operator="equal">
      <formula>"Pass"</formula>
    </cfRule>
    <cfRule type="cellIs" dxfId="6" priority="2" operator="equal">
      <formula>"Fail"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D153"/>
  <sheetViews>
    <sheetView tabSelected="1" topLeftCell="Q108" zoomScaleNormal="100" workbookViewId="0">
      <selection activeCell="Z10" sqref="Z10:Z139"/>
    </sheetView>
  </sheetViews>
  <sheetFormatPr defaultRowHeight="15"/>
  <cols>
    <col min="1" max="1" width="14" customWidth="1"/>
    <col min="2" max="2" width="19" bestFit="1" customWidth="1"/>
    <col min="3" max="3" width="14.85546875" customWidth="1"/>
    <col min="4" max="4" width="15" customWidth="1"/>
    <col min="5" max="7" width="15" style="11" customWidth="1"/>
    <col min="8" max="8" width="23.28515625" style="11" bestFit="1" customWidth="1"/>
    <col min="9" max="9" width="15.7109375" style="4" bestFit="1" customWidth="1"/>
    <col min="10" max="10" width="18" bestFit="1" customWidth="1"/>
    <col min="11" max="11" width="13.5703125" bestFit="1" customWidth="1"/>
    <col min="12" max="12" width="11" customWidth="1"/>
    <col min="13" max="13" width="15.85546875" customWidth="1"/>
    <col min="14" max="14" width="26.7109375" bestFit="1" customWidth="1"/>
    <col min="15" max="15" width="20.85546875" bestFit="1" customWidth="1"/>
    <col min="16" max="16" width="18.28515625" bestFit="1" customWidth="1"/>
    <col min="17" max="17" width="15.28515625" bestFit="1" customWidth="1"/>
    <col min="18" max="18" width="14.85546875" customWidth="1"/>
    <col min="19" max="19" width="11.5703125" style="58" customWidth="1"/>
    <col min="20" max="20" width="33" style="11" bestFit="1" customWidth="1"/>
    <col min="21" max="21" width="18.28515625" bestFit="1" customWidth="1"/>
    <col min="22" max="22" width="15.28515625" bestFit="1" customWidth="1"/>
    <col min="23" max="23" width="17.140625" customWidth="1"/>
    <col min="24" max="24" width="8" bestFit="1" customWidth="1"/>
    <col min="25" max="25" width="14.28515625" bestFit="1" customWidth="1"/>
    <col min="26" max="26" width="10.7109375" bestFit="1" customWidth="1"/>
    <col min="27" max="27" width="15.28515625" bestFit="1" customWidth="1"/>
    <col min="28" max="28" width="21.5703125" bestFit="1" customWidth="1"/>
  </cols>
  <sheetData>
    <row r="1" spans="1:28" ht="15.75" thickBot="1"/>
    <row r="2" spans="1:28" ht="15.75" thickBot="1">
      <c r="A2" s="6" t="s">
        <v>4</v>
      </c>
      <c r="B2" s="7">
        <v>41421</v>
      </c>
      <c r="D2" s="112" t="s">
        <v>123</v>
      </c>
      <c r="E2" s="113">
        <v>1E-4</v>
      </c>
      <c r="G2" s="86"/>
      <c r="H2" s="302" t="s">
        <v>341</v>
      </c>
      <c r="I2" s="303"/>
      <c r="J2" s="304"/>
      <c r="K2" s="51"/>
      <c r="M2" s="55"/>
      <c r="N2" s="56"/>
      <c r="P2" s="117"/>
      <c r="Q2" s="54"/>
      <c r="R2" s="138"/>
      <c r="S2" s="139"/>
      <c r="T2" s="111"/>
      <c r="U2" s="104"/>
    </row>
    <row r="3" spans="1:28" s="4" customFormat="1" ht="15.75" thickBot="1">
      <c r="A3" s="6" t="s">
        <v>95</v>
      </c>
      <c r="B3" s="7">
        <f>AddTenorToDate(B2,-1,"y")</f>
        <v>41056</v>
      </c>
      <c r="E3" s="11"/>
      <c r="F3" s="11"/>
      <c r="G3" s="86"/>
      <c r="H3" s="217" t="s">
        <v>329</v>
      </c>
      <c r="I3" s="218" t="s">
        <v>330</v>
      </c>
      <c r="J3" s="219" t="s">
        <v>331</v>
      </c>
      <c r="M3" s="133"/>
      <c r="N3" s="158"/>
      <c r="O3" s="140"/>
      <c r="P3" s="159"/>
      <c r="S3" s="58"/>
      <c r="T3" s="111"/>
      <c r="U3" s="31"/>
    </row>
    <row r="4" spans="1:28" s="58" customFormat="1" ht="15.75" thickBot="1">
      <c r="A4" s="6" t="s">
        <v>94</v>
      </c>
      <c r="B4" s="7">
        <f>AddTenorToDate(B2,3,"m")</f>
        <v>41513</v>
      </c>
      <c r="G4" s="233" t="s">
        <v>23</v>
      </c>
      <c r="H4" s="220">
        <f t="array" aca="1" ref="H4" ca="1">MIN(IF($D$10:$D$139=G4,$W$10:$W$139))</f>
        <v>-2.8223730623722076E-6</v>
      </c>
      <c r="I4" s="221">
        <f t="array" aca="1" ref="I4" ca="1">MAX(IF($D$10:$D$139=G4,$W$10:$W$139))</f>
        <v>8.0063939094543457E-5</v>
      </c>
      <c r="J4" s="225" t="str">
        <f ca="1">IF(AND(ABS(H4)&lt;$E$2,ABS(I4)&lt;$E$2),"Pass","Fail")</f>
        <v>Pass</v>
      </c>
      <c r="M4" s="130"/>
      <c r="N4" s="158"/>
      <c r="O4" s="160"/>
      <c r="P4" s="133"/>
      <c r="Q4" s="53"/>
      <c r="R4" s="60"/>
      <c r="S4" s="100"/>
      <c r="T4" s="171"/>
      <c r="U4" s="170"/>
    </row>
    <row r="5" spans="1:28">
      <c r="G5" s="208" t="s">
        <v>22</v>
      </c>
      <c r="H5" s="209">
        <f t="array" aca="1" ref="H5" ca="1">MIN(IF($D$10:$D$139=G5,$W$10:$W$139))</f>
        <v>-2.2351741790769999E-8</v>
      </c>
      <c r="I5" s="207">
        <f t="array" aca="1" ref="I5" ca="1">MAX(IF($D$10:$D$139=G5,$W$10:$W$139))</f>
        <v>1.73225998878479E-7</v>
      </c>
      <c r="J5" s="228" t="str">
        <f ca="1">IF(AND(ABS(H5)&lt;$E$2,ABS(I5)&lt;$E$2),"Pass","Fail")</f>
        <v>Pass</v>
      </c>
      <c r="R5" s="58"/>
      <c r="S5" s="41"/>
    </row>
    <row r="6" spans="1:28">
      <c r="G6" s="208" t="s">
        <v>25</v>
      </c>
      <c r="H6" s="209">
        <f t="array" aca="1" ref="H6" ca="1">MIN(IF($D$10:$D$139=G6,$W$10:$W$139))</f>
        <v>-61461.17370820744</v>
      </c>
      <c r="I6" s="207">
        <f t="array" aca="1" ref="I6" ca="1">MAX(IF($D$10:$D$139=G6,$W$10:$W$139))</f>
        <v>16512.043653413653</v>
      </c>
      <c r="J6" s="228" t="str">
        <f ca="1">IF(AND(ABS(H6)&lt;$E$2,ABS(I6)&lt;$E$2),"Pass","Fail")</f>
        <v>Fail</v>
      </c>
    </row>
    <row r="7" spans="1:28" ht="15.75" thickBot="1">
      <c r="G7" s="234" t="s">
        <v>24</v>
      </c>
      <c r="H7" s="210">
        <f t="array" aca="1" ref="H7" ca="1">MIN(IF($D$10:$D$139=G7,$W$10:$W$139))</f>
        <v>-3847.8654762138613</v>
      </c>
      <c r="I7" s="211">
        <f t="array" aca="1" ref="I7" ca="1">MAX(IF($D$10:$D$139=G7,$W$10:$W$139))</f>
        <v>29677.795156642562</v>
      </c>
      <c r="J7" s="229" t="str">
        <f ca="1">IF(AND(ABS(H7)&lt;$E$2,ABS(I7)&lt;$E$2),"Pass","Fail")</f>
        <v>Fail</v>
      </c>
    </row>
    <row r="8" spans="1:28" ht="15.75" thickBot="1">
      <c r="AA8" s="299"/>
      <c r="AB8" s="299"/>
    </row>
    <row r="9" spans="1:28" ht="15.75" thickBot="1">
      <c r="A9" s="178"/>
      <c r="B9" s="63" t="s">
        <v>11</v>
      </c>
      <c r="C9" s="64" t="s">
        <v>2</v>
      </c>
      <c r="D9" s="64" t="s">
        <v>3</v>
      </c>
      <c r="E9" s="64" t="s">
        <v>33</v>
      </c>
      <c r="F9" s="64" t="s">
        <v>16</v>
      </c>
      <c r="G9" s="64" t="s">
        <v>34</v>
      </c>
      <c r="H9" s="64" t="s">
        <v>7</v>
      </c>
      <c r="I9" s="65" t="s">
        <v>31</v>
      </c>
      <c r="J9" s="66" t="s">
        <v>32</v>
      </c>
      <c r="K9" s="66" t="s">
        <v>9</v>
      </c>
      <c r="L9" s="66" t="s">
        <v>10</v>
      </c>
      <c r="M9" s="67" t="s">
        <v>15</v>
      </c>
      <c r="N9" s="68" t="s">
        <v>8</v>
      </c>
      <c r="O9" s="68" t="s">
        <v>12</v>
      </c>
      <c r="P9" s="68" t="s">
        <v>13</v>
      </c>
      <c r="Q9" s="68" t="s">
        <v>17</v>
      </c>
      <c r="R9" s="68" t="s">
        <v>14</v>
      </c>
      <c r="S9" s="68" t="s">
        <v>92</v>
      </c>
      <c r="T9" s="68" t="s">
        <v>37</v>
      </c>
      <c r="U9" s="69" t="s">
        <v>257</v>
      </c>
      <c r="V9" s="68" t="s">
        <v>258</v>
      </c>
      <c r="W9" s="69" t="s">
        <v>121</v>
      </c>
      <c r="X9" s="178"/>
      <c r="Y9" s="145" t="s">
        <v>122</v>
      </c>
      <c r="AA9" s="299"/>
      <c r="AB9" s="299"/>
    </row>
    <row r="10" spans="1:28" ht="15" customHeight="1">
      <c r="A10" s="305" t="s">
        <v>93</v>
      </c>
      <c r="B10" s="70">
        <v>100000000</v>
      </c>
      <c r="C10" s="71" t="str">
        <f t="shared" ref="C10:C11" si="0">IF(OR(D10="FR",D10="US"),"Linear","Piecewise")</f>
        <v>Piecewise</v>
      </c>
      <c r="D10" s="71" t="s">
        <v>23</v>
      </c>
      <c r="E10" s="71">
        <v>2</v>
      </c>
      <c r="F10" s="71" t="s">
        <v>27</v>
      </c>
      <c r="G10" s="71" t="s">
        <v>35</v>
      </c>
      <c r="H10" s="72">
        <v>0.01</v>
      </c>
      <c r="I10" s="71" t="str">
        <f t="shared" ref="I10:I11" si="1">IF(OR(D10="FR",D10="EUR"),"EUR",IF(D10="GB","GBP","USD"))</f>
        <v>GBP</v>
      </c>
      <c r="J10" s="71">
        <f t="shared" ref="J10:J11" si="2">IF(I10="GBP",0,2)</f>
        <v>0</v>
      </c>
      <c r="K10" s="73">
        <f t="shared" ref="K10:K17" ca="1" si="3">AddTenorToDateAsBD($B$2,J10&amp;"D",INDIRECT(I10&amp;"Hols"))</f>
        <v>41422</v>
      </c>
      <c r="L10" s="73">
        <f ca="1">AddTenorToDate(K10,GetNumsForString(G10),GetCharsForString(G10))</f>
        <v>42152</v>
      </c>
      <c r="M10" s="73">
        <f t="shared" ref="M10:M11" ca="1" si="4">AddTenorToDateAsBDModFol(L10,"0D",INDIRECT(I10&amp;"Hols"))</f>
        <v>42152</v>
      </c>
      <c r="N10" s="74">
        <f ca="1">IF(F10="Yes",B10*((1+H10)^TimeToMaturity(L10,K10,"30 / 360")-1),-B10*((1+H10)^TimeToMaturity(L10,K10,"30 / 360")-1))</f>
        <v>-2010000.0000000007</v>
      </c>
      <c r="O10" s="73">
        <f t="shared" ref="O10" ca="1" si="5">GetCPIDate(K10,E10,C10)</f>
        <v>41334</v>
      </c>
      <c r="P10" s="75">
        <f t="shared" ref="P10" ca="1" si="6">GetReferenceCPI(K10,E10,C10,INDIRECT(D10&amp;"_Fixings"),FALSE)</f>
        <v>248.7</v>
      </c>
      <c r="Q10" s="73">
        <f ca="1">GetCPIDateModFol(L10,E10,C10,INDIRECT(I10&amp;"Hols"))</f>
        <v>42064</v>
      </c>
      <c r="R10" s="76">
        <f t="shared" ref="R10:R41" ca="1" si="7">GetCPI(L10,$B$2,C10,E10,INDIRECT(D10&amp;"_LastDate"),INDIRECT(D10&amp;"_LastCPI"),INDIRECT(D10&amp;"_RefDate"),INDIRECT(D10&amp;"_RefCPI"),INDIRECT(D10&amp;"_INFDates"),INDIRECT(D10&amp;"_CPIs"),INDIRECT(D10&amp;"_Seaso"),INDIRECT(D10&amp;"_Fixings"),INDIRECT(I10&amp;"Hols"))</f>
        <v>262.566579375</v>
      </c>
      <c r="S10" s="73">
        <f t="shared" ref="S10:S41" si="8">$B$2</f>
        <v>41421</v>
      </c>
      <c r="T10" s="77">
        <f t="shared" ref="T10:T41" ca="1" si="9">GetDF(M10,$B$2,INDIRECT(I10&amp;"_Disc"))/GetDF(S10,$B$2,INDIRECT(I10&amp;"_Disc"))</f>
        <v>0.99221183089426768</v>
      </c>
      <c r="U10" s="78">
        <f ca="1">IF(F10="Yes",(-(R10/P10-1)*B10+N10)*T10,((R10/P10-1)*B10+N10)*T10)</f>
        <v>3537855.3095323676</v>
      </c>
      <c r="V10" s="101">
        <f ca="1">VLOOKUP(Z10,'MX PV'!$C$2:$G$134,5,FALSE)</f>
        <v>3537855.30953519</v>
      </c>
      <c r="W10" s="114">
        <f ca="1">V10-U10</f>
        <v>2.8223730623722076E-6</v>
      </c>
      <c r="X10" s="178"/>
      <c r="Y10" s="142" t="str">
        <f t="shared" ref="Y10:Y23" ca="1" si="10">IF(ABS(W10)&lt;$E$2,"Pass","Fail")</f>
        <v>Pass</v>
      </c>
      <c r="Z10" s="123" t="s">
        <v>126</v>
      </c>
      <c r="AA10" s="299"/>
      <c r="AB10" s="299"/>
    </row>
    <row r="11" spans="1:28">
      <c r="A11" s="306"/>
      <c r="B11" s="79">
        <v>100000000</v>
      </c>
      <c r="C11" s="80" t="str">
        <f t="shared" si="0"/>
        <v>Piecewise</v>
      </c>
      <c r="D11" s="80" t="s">
        <v>23</v>
      </c>
      <c r="E11" s="80">
        <v>2</v>
      </c>
      <c r="F11" s="80" t="s">
        <v>26</v>
      </c>
      <c r="G11" s="80" t="s">
        <v>35</v>
      </c>
      <c r="H11" s="81">
        <v>0.01</v>
      </c>
      <c r="I11" s="80" t="str">
        <f t="shared" si="1"/>
        <v>GBP</v>
      </c>
      <c r="J11" s="80">
        <f t="shared" si="2"/>
        <v>0</v>
      </c>
      <c r="K11" s="82">
        <f t="shared" ca="1" si="3"/>
        <v>41422</v>
      </c>
      <c r="L11" s="82">
        <f ca="1">AddTenorToDate(K11,GetNumsForString(G11),GetCharsForString(G11))</f>
        <v>42152</v>
      </c>
      <c r="M11" s="82">
        <f t="shared" ca="1" si="4"/>
        <v>42152</v>
      </c>
      <c r="N11" s="83">
        <f ca="1">IF(F11="Yes",B11*((1+H11)^TimeToMaturity(L11,K11,"30 / 360")-1),-B11*((1+H11)^TimeToMaturity(L11,K11,"30 / 360")-1))</f>
        <v>2010000.0000000007</v>
      </c>
      <c r="O11" s="82">
        <f t="shared" ref="O11:O12" ca="1" si="11">GetCPIDate(K11,E11,C11)</f>
        <v>41334</v>
      </c>
      <c r="P11" s="84">
        <f t="shared" ref="P11:P12" ca="1" si="12">GetReferenceCPI(K11,E11,C11,INDIRECT(D11&amp;"_Fixings"),FALSE)</f>
        <v>248.7</v>
      </c>
      <c r="Q11" s="82">
        <f t="shared" ref="Q11:Q74" ca="1" si="13">GetCPIDateModFol(L11,E11,C11,INDIRECT(I11&amp;"Hols"))</f>
        <v>42064</v>
      </c>
      <c r="R11" s="85">
        <f t="shared" ca="1" si="7"/>
        <v>262.566579375</v>
      </c>
      <c r="S11" s="82">
        <f t="shared" si="8"/>
        <v>41421</v>
      </c>
      <c r="T11" s="86">
        <f t="shared" ca="1" si="9"/>
        <v>0.99221183089426768</v>
      </c>
      <c r="U11" s="87">
        <f t="shared" ref="U11:U17" ca="1" si="14">IF(F11="Yes",(-(R11/P11-1)*B11+N11)*T11,((R11/P11-1)*B11+N11)*T11)</f>
        <v>-3537855.3095323676</v>
      </c>
      <c r="V11" s="102">
        <f ca="1">VLOOKUP(Z11,'MX PV'!$C$2:$G$134,5,FALSE)</f>
        <v>-3537855.30953519</v>
      </c>
      <c r="W11" s="105">
        <f ca="1">V11-U11</f>
        <v>-2.8223730623722076E-6</v>
      </c>
      <c r="X11" s="178"/>
      <c r="Y11" s="142" t="str">
        <f t="shared" ca="1" si="10"/>
        <v>Pass</v>
      </c>
      <c r="Z11" s="123" t="s">
        <v>127</v>
      </c>
      <c r="AA11" s="299"/>
      <c r="AB11" s="299"/>
    </row>
    <row r="12" spans="1:28">
      <c r="A12" s="306"/>
      <c r="B12" s="79">
        <v>100000000</v>
      </c>
      <c r="C12" s="80" t="str">
        <f t="shared" ref="C12:C13" si="15">IF(OR(D12="FR",D12="US"),"Linear","Piecewise")</f>
        <v>Piecewise</v>
      </c>
      <c r="D12" s="80" t="s">
        <v>22</v>
      </c>
      <c r="E12" s="80">
        <v>3</v>
      </c>
      <c r="F12" s="80" t="s">
        <v>27</v>
      </c>
      <c r="G12" s="80" t="s">
        <v>66</v>
      </c>
      <c r="H12" s="81">
        <v>1.4999999999999999E-2</v>
      </c>
      <c r="I12" s="80" t="str">
        <f t="shared" ref="I12:I13" si="16">IF(OR(D12="FR",D12="EUR"),"EUR",IF(D12="GB","GBP","USD"))</f>
        <v>EUR</v>
      </c>
      <c r="J12" s="80">
        <f t="shared" ref="J12:J13" si="17">IF(I12="GBP",0,2)</f>
        <v>2</v>
      </c>
      <c r="K12" s="82">
        <f t="shared" ca="1" si="3"/>
        <v>41423</v>
      </c>
      <c r="L12" s="82">
        <f ca="1">AddTenorToDate(K12,GetNumsForString(G12),GetCharsForString(G12))</f>
        <v>43249</v>
      </c>
      <c r="M12" s="82">
        <f t="shared" ref="M12:M13" ca="1" si="18">AddTenorToDateAsBDModFol(L12,"0D",INDIRECT(I12&amp;"Hols"))</f>
        <v>43249</v>
      </c>
      <c r="N12" s="83">
        <f ca="1">IF(F12="Yes",B12*((1+H12)^TimeToMaturity(L12,K12,"30 / 360")-1),-B12*((1+H12)^TimeToMaturity(L12,K12,"30 / 360")-1))</f>
        <v>-7728400.3884374285</v>
      </c>
      <c r="O12" s="82">
        <f t="shared" ca="1" si="11"/>
        <v>41306</v>
      </c>
      <c r="P12" s="84">
        <f t="shared" ca="1" si="12"/>
        <v>115.55</v>
      </c>
      <c r="Q12" s="82">
        <f t="shared" ca="1" si="13"/>
        <v>43132</v>
      </c>
      <c r="R12" s="85">
        <f t="shared" ca="1" si="7"/>
        <v>124.72564116660919</v>
      </c>
      <c r="S12" s="82">
        <f t="shared" si="8"/>
        <v>41421</v>
      </c>
      <c r="T12" s="86">
        <f t="shared" ca="1" si="9"/>
        <v>0.96952993448403668</v>
      </c>
      <c r="U12" s="87">
        <f t="shared" ca="1" si="14"/>
        <v>205967.02131613754</v>
      </c>
      <c r="V12" s="102">
        <f ca="1">VLOOKUP(Z12,'MX PV'!$C$2:$G$134,5,FALSE)</f>
        <v>205967.021316119</v>
      </c>
      <c r="W12" s="105">
        <f t="shared" ref="W12:W75" ca="1" si="19">V12-U12</f>
        <v>-1.8539140000939369E-8</v>
      </c>
      <c r="X12" s="178"/>
      <c r="Y12" s="142" t="str">
        <f t="shared" ca="1" si="10"/>
        <v>Pass</v>
      </c>
      <c r="Z12" s="134" t="s">
        <v>128</v>
      </c>
      <c r="AA12" s="299"/>
      <c r="AB12" s="299"/>
    </row>
    <row r="13" spans="1:28">
      <c r="A13" s="306"/>
      <c r="B13" s="79">
        <v>100000000</v>
      </c>
      <c r="C13" s="80" t="str">
        <f t="shared" si="15"/>
        <v>Piecewise</v>
      </c>
      <c r="D13" s="80" t="s">
        <v>22</v>
      </c>
      <c r="E13" s="80">
        <v>3</v>
      </c>
      <c r="F13" s="80" t="s">
        <v>26</v>
      </c>
      <c r="G13" s="80" t="s">
        <v>66</v>
      </c>
      <c r="H13" s="81">
        <v>1.4999999999999999E-2</v>
      </c>
      <c r="I13" s="80" t="str">
        <f t="shared" si="16"/>
        <v>EUR</v>
      </c>
      <c r="J13" s="80">
        <f t="shared" si="17"/>
        <v>2</v>
      </c>
      <c r="K13" s="82">
        <f t="shared" ca="1" si="3"/>
        <v>41423</v>
      </c>
      <c r="L13" s="82">
        <f ca="1">AddTenorToDate(K13,GetNumsForString(G13),GetCharsForString(G13))</f>
        <v>43249</v>
      </c>
      <c r="M13" s="82">
        <f t="shared" ca="1" si="18"/>
        <v>43249</v>
      </c>
      <c r="N13" s="83">
        <f ca="1">IF(F13="Yes",B13*((1+H13)^TimeToMaturity(L13,K13,"30 / 360")-1),-B13*((1+H13)^TimeToMaturity(L13,K13,"30 / 360")-1))</f>
        <v>7728400.3884374285</v>
      </c>
      <c r="O13" s="82">
        <f t="shared" ref="O13:O14" ca="1" si="20">GetCPIDate(K13,E13,C13)</f>
        <v>41306</v>
      </c>
      <c r="P13" s="84">
        <f t="shared" ref="P13:P14" ca="1" si="21">GetReferenceCPI(K13,E13,C13,INDIRECT(D13&amp;"_Fixings"),FALSE)</f>
        <v>115.55</v>
      </c>
      <c r="Q13" s="82">
        <f t="shared" ca="1" si="13"/>
        <v>43132</v>
      </c>
      <c r="R13" s="85">
        <f t="shared" ca="1" si="7"/>
        <v>124.72564116660919</v>
      </c>
      <c r="S13" s="82">
        <f t="shared" si="8"/>
        <v>41421</v>
      </c>
      <c r="T13" s="86">
        <f t="shared" ca="1" si="9"/>
        <v>0.96952993448403668</v>
      </c>
      <c r="U13" s="87">
        <f t="shared" ca="1" si="14"/>
        <v>-205967.02131613754</v>
      </c>
      <c r="V13" s="102">
        <f ca="1">VLOOKUP(Z13,'MX PV'!$C$2:$G$134,5,FALSE)</f>
        <v>-205967.021316119</v>
      </c>
      <c r="W13" s="105">
        <f t="shared" ca="1" si="19"/>
        <v>1.8539140000939369E-8</v>
      </c>
      <c r="X13" s="178"/>
      <c r="Y13" s="142" t="str">
        <f t="shared" ca="1" si="10"/>
        <v>Pass</v>
      </c>
      <c r="Z13" s="134" t="s">
        <v>129</v>
      </c>
      <c r="AA13" s="299"/>
      <c r="AB13" s="299"/>
    </row>
    <row r="14" spans="1:28" s="130" customFormat="1">
      <c r="A14" s="306"/>
      <c r="B14" s="79">
        <v>100000000</v>
      </c>
      <c r="C14" s="80" t="str">
        <f t="shared" ref="C14:C17" si="22">IF(OR(D14="FR",D14="US"),"Linear","Piecewise")</f>
        <v>Linear</v>
      </c>
      <c r="D14" s="80" t="s">
        <v>24</v>
      </c>
      <c r="E14" s="80">
        <v>3</v>
      </c>
      <c r="F14" s="80" t="s">
        <v>27</v>
      </c>
      <c r="G14" s="80" t="s">
        <v>118</v>
      </c>
      <c r="H14" s="81">
        <v>2.7699999999999999E-2</v>
      </c>
      <c r="I14" s="80" t="str">
        <f t="shared" ref="I14:I17" si="23">IF(OR(D14="FR",D14="EUR"),"EUR",IF(D14="GB","GBP","USD"))</f>
        <v>USD</v>
      </c>
      <c r="J14" s="80">
        <f t="shared" ref="J14:J17" si="24">IF(I14="GBP",0,2)</f>
        <v>2</v>
      </c>
      <c r="K14" s="82">
        <f t="shared" ca="1" si="3"/>
        <v>41423</v>
      </c>
      <c r="L14" s="82">
        <f ca="1">AddTenorToDate(K14,GetNumsForString(G14),GetCharsForString(G14))</f>
        <v>45259</v>
      </c>
      <c r="M14" s="82">
        <f t="shared" ref="M14:M17" ca="1" si="25">AddTenorToDateAsBDModFol(L14,"0D",INDIRECT(I14&amp;"Hols"))</f>
        <v>45259</v>
      </c>
      <c r="N14" s="83">
        <f ca="1">IF(F14="Yes",B14*((1+H14)^TimeToMaturity(L14,K14,"30 / 360")-1),-B14*((1+H14)^TimeToMaturity(L14,K14,"30 / 360")-1))</f>
        <v>-33228378.911097776</v>
      </c>
      <c r="O14" s="82">
        <f t="shared" ca="1" si="20"/>
        <v>41333</v>
      </c>
      <c r="P14" s="84">
        <f t="shared" ca="1" si="21"/>
        <v>232.71425806451612</v>
      </c>
      <c r="Q14" s="82">
        <f t="shared" ca="1" si="13"/>
        <v>45167</v>
      </c>
      <c r="R14" s="85">
        <f t="shared" ca="1" si="7"/>
        <v>308.42848211410495</v>
      </c>
      <c r="S14" s="82">
        <f t="shared" si="8"/>
        <v>41421</v>
      </c>
      <c r="T14" s="86">
        <f t="shared" ca="1" si="9"/>
        <v>0.80669150025537772</v>
      </c>
      <c r="U14" s="87">
        <f t="shared" ca="1" si="14"/>
        <v>-559120.9561971497</v>
      </c>
      <c r="V14" s="102">
        <f ca="1">VLOOKUP(Z14,'MX PV'!$C$2:$G$134,5,FALSE)</f>
        <v>-559120.95616267598</v>
      </c>
      <c r="W14" s="105">
        <f t="shared" ca="1" si="19"/>
        <v>3.4473720006644726E-5</v>
      </c>
      <c r="X14" s="178"/>
      <c r="Y14" s="142" t="str">
        <f t="shared" ca="1" si="10"/>
        <v>Pass</v>
      </c>
      <c r="Z14" s="123" t="s">
        <v>130</v>
      </c>
      <c r="AA14" s="299"/>
      <c r="AB14" s="299"/>
    </row>
    <row r="15" spans="1:28">
      <c r="A15" s="306"/>
      <c r="B15" s="79">
        <v>100000000</v>
      </c>
      <c r="C15" s="80" t="str">
        <f t="shared" si="22"/>
        <v>Linear</v>
      </c>
      <c r="D15" s="80" t="s">
        <v>24</v>
      </c>
      <c r="E15" s="80">
        <v>3</v>
      </c>
      <c r="F15" s="80" t="s">
        <v>26</v>
      </c>
      <c r="G15" s="80" t="s">
        <v>118</v>
      </c>
      <c r="H15" s="81">
        <v>2.7699999999999999E-2</v>
      </c>
      <c r="I15" s="80" t="str">
        <f t="shared" si="23"/>
        <v>USD</v>
      </c>
      <c r="J15" s="80">
        <f t="shared" si="24"/>
        <v>2</v>
      </c>
      <c r="K15" s="82">
        <f t="shared" ca="1" si="3"/>
        <v>41423</v>
      </c>
      <c r="L15" s="82">
        <f ca="1">AddTenorToDate(K15,GetNumsForString(G15),GetCharsForString(G15))</f>
        <v>45259</v>
      </c>
      <c r="M15" s="82">
        <f t="shared" ca="1" si="25"/>
        <v>45259</v>
      </c>
      <c r="N15" s="83">
        <f ca="1">IF(F15="Yes",B15*((1+H15)^TimeToMaturity(L15,K15,"30 / 360")-1),-B15*((1+H15)^TimeToMaturity(L15,K15,"30 / 360")-1))</f>
        <v>33228378.911097776</v>
      </c>
      <c r="O15" s="82">
        <f t="shared" ref="O15:O17" ca="1" si="26">GetCPIDate(K15,E15,C15)</f>
        <v>41333</v>
      </c>
      <c r="P15" s="84">
        <f t="shared" ref="P15:P17" ca="1" si="27">GetReferenceCPI(K15,E15,C15,INDIRECT(D15&amp;"_Fixings"),FALSE)</f>
        <v>232.71425806451612</v>
      </c>
      <c r="Q15" s="82">
        <f t="shared" ca="1" si="13"/>
        <v>45167</v>
      </c>
      <c r="R15" s="85">
        <f t="shared" ca="1" si="7"/>
        <v>308.42848211410495</v>
      </c>
      <c r="S15" s="82">
        <f t="shared" si="8"/>
        <v>41421</v>
      </c>
      <c r="T15" s="86">
        <f t="shared" ca="1" si="9"/>
        <v>0.80669150025537772</v>
      </c>
      <c r="U15" s="87">
        <f t="shared" ca="1" si="14"/>
        <v>559120.9561971497</v>
      </c>
      <c r="V15" s="102">
        <f ca="1">VLOOKUP(Z15,'MX PV'!$C$2:$G$134,5,FALSE)</f>
        <v>559120.95616267598</v>
      </c>
      <c r="W15" s="105">
        <f t="shared" ca="1" si="19"/>
        <v>-3.4473720006644726E-5</v>
      </c>
      <c r="X15" s="178"/>
      <c r="Y15" s="142" t="str">
        <f t="shared" ca="1" si="10"/>
        <v>Pass</v>
      </c>
      <c r="Z15" s="123" t="s">
        <v>131</v>
      </c>
      <c r="AA15" s="299"/>
      <c r="AB15" s="299"/>
    </row>
    <row r="16" spans="1:28" s="130" customFormat="1">
      <c r="A16" s="306"/>
      <c r="B16" s="79">
        <v>100000000</v>
      </c>
      <c r="C16" s="80" t="str">
        <f t="shared" si="22"/>
        <v>Linear</v>
      </c>
      <c r="D16" s="80" t="s">
        <v>25</v>
      </c>
      <c r="E16" s="80">
        <v>3</v>
      </c>
      <c r="F16" s="80" t="s">
        <v>27</v>
      </c>
      <c r="G16" s="80" t="s">
        <v>76</v>
      </c>
      <c r="H16" s="81">
        <v>0.03</v>
      </c>
      <c r="I16" s="80" t="str">
        <f t="shared" si="23"/>
        <v>EUR</v>
      </c>
      <c r="J16" s="80">
        <f t="shared" si="24"/>
        <v>2</v>
      </c>
      <c r="K16" s="82">
        <f t="shared" ca="1" si="3"/>
        <v>41423</v>
      </c>
      <c r="L16" s="82">
        <f ca="1">AddTenorToDate(K16,GetNumsForString(G16),GetCharsForString(G16))</f>
        <v>52380</v>
      </c>
      <c r="M16" s="82">
        <f t="shared" ca="1" si="25"/>
        <v>52380</v>
      </c>
      <c r="N16" s="83">
        <f ca="1">IF(F16="Yes",B16*((1+H16)^TimeToMaturity(L16,K16,"30 / 360")-1),-B16*((1+H16)^TimeToMaturity(L16,K16,"30 / 360")-1))</f>
        <v>-142726247.11896592</v>
      </c>
      <c r="O16" s="82">
        <f t="shared" ca="1" si="26"/>
        <v>41333</v>
      </c>
      <c r="P16" s="84">
        <f t="shared" ca="1" si="27"/>
        <v>125.32903225806452</v>
      </c>
      <c r="Q16" s="82">
        <f t="shared" ca="1" si="13"/>
        <v>52290</v>
      </c>
      <c r="R16" s="85">
        <f t="shared" ca="1" si="7"/>
        <v>253.2879886160832</v>
      </c>
      <c r="S16" s="82">
        <f t="shared" si="8"/>
        <v>41421</v>
      </c>
      <c r="T16" s="86">
        <f t="shared" ca="1" si="9"/>
        <v>0.49615058493887298</v>
      </c>
      <c r="U16" s="87">
        <f t="shared" ca="1" si="14"/>
        <v>-20157522.319203544</v>
      </c>
      <c r="V16" s="102">
        <f ca="1">VLOOKUP(Z16,'MX PV'!$C$2:$G$134,5,FALSE)</f>
        <v>-20157522.319203801</v>
      </c>
      <c r="W16" s="105">
        <f t="shared" ca="1" si="19"/>
        <v>-2.5704503059387207E-7</v>
      </c>
      <c r="X16" s="178"/>
      <c r="Y16" s="142" t="str">
        <f t="shared" ca="1" si="10"/>
        <v>Pass</v>
      </c>
      <c r="Z16" s="123" t="s">
        <v>132</v>
      </c>
      <c r="AA16" s="299"/>
      <c r="AB16" s="299"/>
    </row>
    <row r="17" spans="1:30" s="130" customFormat="1">
      <c r="A17" s="307"/>
      <c r="B17" s="88">
        <v>100000000</v>
      </c>
      <c r="C17" s="172" t="str">
        <f t="shared" si="22"/>
        <v>Linear</v>
      </c>
      <c r="D17" s="172" t="s">
        <v>25</v>
      </c>
      <c r="E17" s="172">
        <v>3</v>
      </c>
      <c r="F17" s="172" t="s">
        <v>26</v>
      </c>
      <c r="G17" s="172" t="s">
        <v>76</v>
      </c>
      <c r="H17" s="89">
        <v>0.03</v>
      </c>
      <c r="I17" s="172" t="str">
        <f t="shared" si="23"/>
        <v>EUR</v>
      </c>
      <c r="J17" s="172">
        <f t="shared" si="24"/>
        <v>2</v>
      </c>
      <c r="K17" s="90">
        <f t="shared" ca="1" si="3"/>
        <v>41423</v>
      </c>
      <c r="L17" s="90">
        <f ca="1">AddTenorToDate(K17,GetNumsForString(G17),GetCharsForString(G17))</f>
        <v>52380</v>
      </c>
      <c r="M17" s="90">
        <f t="shared" ca="1" si="25"/>
        <v>52380</v>
      </c>
      <c r="N17" s="91">
        <f ca="1">IF(F17="Yes",B17*((1+H17)^TimeToMaturity(L17,K17,"30 / 360")-1),-B17*((1+H17)^TimeToMaturity(L17,K17,"30 / 360")-1))</f>
        <v>142726247.11896592</v>
      </c>
      <c r="O17" s="90">
        <f t="shared" ca="1" si="26"/>
        <v>41333</v>
      </c>
      <c r="P17" s="92">
        <f t="shared" ca="1" si="27"/>
        <v>125.32903225806452</v>
      </c>
      <c r="Q17" s="90">
        <f t="shared" ca="1" si="13"/>
        <v>52290</v>
      </c>
      <c r="R17" s="93">
        <f t="shared" ca="1" si="7"/>
        <v>253.2879886160832</v>
      </c>
      <c r="S17" s="90">
        <f t="shared" si="8"/>
        <v>41421</v>
      </c>
      <c r="T17" s="94">
        <f t="shared" ca="1" si="9"/>
        <v>0.49615058493887298</v>
      </c>
      <c r="U17" s="95">
        <f t="shared" ca="1" si="14"/>
        <v>20157522.319203544</v>
      </c>
      <c r="V17" s="103">
        <f ca="1">VLOOKUP(Z17,'MX PV'!$C$2:$G$134,5,FALSE)</f>
        <v>20157522.319203801</v>
      </c>
      <c r="W17" s="115">
        <f t="shared" ca="1" si="19"/>
        <v>2.5704503059387207E-7</v>
      </c>
      <c r="X17" s="178"/>
      <c r="Y17" s="142" t="str">
        <f t="shared" ca="1" si="10"/>
        <v>Pass</v>
      </c>
      <c r="Z17" s="123" t="s">
        <v>133</v>
      </c>
      <c r="AA17" s="299"/>
      <c r="AB17" s="299"/>
    </row>
    <row r="18" spans="1:30" ht="15" customHeight="1">
      <c r="A18" s="308" t="s">
        <v>104</v>
      </c>
      <c r="B18" s="129">
        <v>100000000</v>
      </c>
      <c r="C18" s="127" t="str">
        <f>IF(OR(D18="FR",D18="US"),"Linear","Piecewise")</f>
        <v>Piecewise</v>
      </c>
      <c r="D18" s="127" t="s">
        <v>23</v>
      </c>
      <c r="E18" s="127">
        <v>6</v>
      </c>
      <c r="F18" s="127" t="s">
        <v>27</v>
      </c>
      <c r="G18" s="127" t="s">
        <v>125</v>
      </c>
      <c r="H18" s="125">
        <v>-2.5000000000000001E-2</v>
      </c>
      <c r="I18" s="127" t="str">
        <f>IF(OR(D18="FR",D18="EUR"),"EUR",IF(D18="GB","GBP","USD"))</f>
        <v>GBP</v>
      </c>
      <c r="J18" s="127">
        <f>IF(I18="GBP",0,2)</f>
        <v>0</v>
      </c>
      <c r="K18" s="128">
        <f t="shared" ref="K18:K25" ca="1" si="28">AddTenorToDateAsBD($B$3,J18&amp;"D",INDIRECT(I18&amp;"Hols"))</f>
        <v>41057</v>
      </c>
      <c r="L18" s="128">
        <f ca="1">AddTenorToDate(K18,GetNumsForString(G18),GetCharsForString(G18))</f>
        <v>50553</v>
      </c>
      <c r="M18" s="128">
        <f ca="1">AddTenorToDateAsBDModFol(L18,"0D",INDIRECT(I18&amp;"Hols"))</f>
        <v>50553</v>
      </c>
      <c r="N18" s="135">
        <f ca="1">IF(F18="Yes",B18*((1+H18)^TimeToMaturity(L18,K18,"30 / 360")-1),-B18*((1+H18)^TimeToMaturity(L18,K18,"30 / 360")-1))</f>
        <v>48225011.850524388</v>
      </c>
      <c r="O18" s="128">
        <f ca="1">GetCPIDate(K18,E18,C18)</f>
        <v>40848</v>
      </c>
      <c r="P18" s="133">
        <f ca="1">GetReferenceCPI(K18,E18,C18,INDIRECT(D18&amp;"_Fixings"),FALSE)</f>
        <v>238.5</v>
      </c>
      <c r="Q18" s="128">
        <f t="shared" ca="1" si="13"/>
        <v>50345</v>
      </c>
      <c r="R18" s="131">
        <f t="shared" ca="1" si="7"/>
        <v>548.01040135708752</v>
      </c>
      <c r="S18" s="128">
        <f t="shared" si="8"/>
        <v>41421</v>
      </c>
      <c r="T18" s="136">
        <f t="shared" ca="1" si="9"/>
        <v>0.48240298561186346</v>
      </c>
      <c r="U18" s="132">
        <f t="shared" ref="U18:U49" ca="1" si="29">IF(F18="Yes",(-(R18/P18-1)*B18+N18)*T18,((R18/P18-1)*B18+N18)*T18)</f>
        <v>85867135.690558642</v>
      </c>
      <c r="V18" s="140">
        <f ca="1">VLOOKUP(Z18,'MX PV'!$C$2:$G$134,5,FALSE)</f>
        <v>85867135.690638706</v>
      </c>
      <c r="W18" s="141">
        <f t="shared" ca="1" si="19"/>
        <v>8.0063939094543457E-5</v>
      </c>
      <c r="X18" s="182"/>
      <c r="Y18" s="282" t="str">
        <f t="shared" ca="1" si="10"/>
        <v>Pass</v>
      </c>
      <c r="Z18" s="178" t="s">
        <v>297</v>
      </c>
      <c r="AA18" s="299"/>
      <c r="AB18" s="299"/>
    </row>
    <row r="19" spans="1:30">
      <c r="A19" s="309"/>
      <c r="B19" s="79">
        <v>100000000</v>
      </c>
      <c r="C19" s="80" t="str">
        <f>IF(OR(D19="FR",D19="US"),"Linear","Piecewise")</f>
        <v>Piecewise</v>
      </c>
      <c r="D19" s="80" t="s">
        <v>22</v>
      </c>
      <c r="E19" s="80">
        <v>7</v>
      </c>
      <c r="F19" s="80" t="s">
        <v>26</v>
      </c>
      <c r="G19" s="80" t="s">
        <v>124</v>
      </c>
      <c r="H19" s="81">
        <v>4.1000000000000002E-2</v>
      </c>
      <c r="I19" s="80" t="str">
        <f>IF(OR(D19="FR",D19="EUR"),"EUR",IF(D19="GB","GBP","USD"))</f>
        <v>EUR</v>
      </c>
      <c r="J19" s="80">
        <f>IF(I19="GBP",0,2)</f>
        <v>2</v>
      </c>
      <c r="K19" s="82">
        <f t="shared" ca="1" si="28"/>
        <v>41058</v>
      </c>
      <c r="L19" s="82">
        <f ca="1">AddTenorToDate(K19,GetNumsForString(G19),GetCharsForString(G19))</f>
        <v>46902</v>
      </c>
      <c r="M19" s="82">
        <f ca="1">AddTenorToDateAsBDModFol(L19,"0D",INDIRECT(I19&amp;"Hols"))</f>
        <v>46902</v>
      </c>
      <c r="N19" s="83">
        <f ca="1">IF(F19="Yes",B19*((1+H19)^TimeToMaturity(L19,K19,"30 / 360")-1),-B19*((1+H19)^TimeToMaturity(L19,K19,"30 / 360")-1))</f>
        <v>90200507.835079312</v>
      </c>
      <c r="O19" s="82">
        <f ca="1">GetCPIDate(K19,E19,C19)</f>
        <v>40817</v>
      </c>
      <c r="P19" s="84">
        <f ca="1">GetReferenceCPI(K19,E19,C19,INDIRECT(D19&amp;"_Fixings"),FALSE)</f>
        <v>113.44</v>
      </c>
      <c r="Q19" s="82">
        <f t="shared" ca="1" si="13"/>
        <v>46661</v>
      </c>
      <c r="R19" s="85">
        <f t="shared" ca="1" si="7"/>
        <v>156.49228470776259</v>
      </c>
      <c r="S19" s="82">
        <f t="shared" si="8"/>
        <v>41421</v>
      </c>
      <c r="T19" s="86">
        <f t="shared" ca="1" si="9"/>
        <v>0.73829608515492151</v>
      </c>
      <c r="U19" s="87">
        <f t="shared" ca="1" si="29"/>
        <v>38575170.832739629</v>
      </c>
      <c r="V19" s="183">
        <f ca="1">VLOOKUP(Z19,'MX PV'!$C$2:$G$134,5,FALSE)</f>
        <v>38575170.832739703</v>
      </c>
      <c r="W19" s="105">
        <f t="shared" ca="1" si="19"/>
        <v>7.4505805969238281E-8</v>
      </c>
      <c r="X19" s="178"/>
      <c r="Y19" s="282" t="str">
        <f t="shared" ca="1" si="10"/>
        <v>Pass</v>
      </c>
      <c r="Z19" s="134" t="s">
        <v>134</v>
      </c>
      <c r="AA19" s="299"/>
      <c r="AB19" s="299"/>
    </row>
    <row r="20" spans="1:30" s="130" customFormat="1">
      <c r="A20" s="309"/>
      <c r="B20" s="129">
        <v>100000000</v>
      </c>
      <c r="C20" s="127" t="str">
        <f t="shared" ref="C20:C21" si="30">IF(OR(D20="FR",D20="US"),"Linear","Piecewise")</f>
        <v>Linear</v>
      </c>
      <c r="D20" s="127" t="s">
        <v>24</v>
      </c>
      <c r="E20" s="127">
        <v>8</v>
      </c>
      <c r="F20" s="127" t="s">
        <v>27</v>
      </c>
      <c r="G20" s="127" t="s">
        <v>71</v>
      </c>
      <c r="H20" s="125">
        <v>-1.11E-2</v>
      </c>
      <c r="I20" s="127" t="str">
        <f t="shared" ref="I20:I21" si="31">IF(OR(D20="FR",D20="EUR"),"EUR",IF(D20="GB","GBP","USD"))</f>
        <v>USD</v>
      </c>
      <c r="J20" s="127">
        <f t="shared" ref="J20:J21" si="32">IF(I20="GBP",0,2)</f>
        <v>2</v>
      </c>
      <c r="K20" s="128">
        <f t="shared" ca="1" si="28"/>
        <v>41058</v>
      </c>
      <c r="L20" s="128">
        <f ca="1">AddTenorToDate(K20,GetNumsForString(G20),GetCharsForString(G20))</f>
        <v>44710</v>
      </c>
      <c r="M20" s="128">
        <f t="shared" ref="M20:M21" ca="1" si="33">AddTenorToDateAsBDModFol(L20,"0D",INDIRECT(I20&amp;"Hols"))</f>
        <v>44712</v>
      </c>
      <c r="N20" s="135">
        <f ca="1">IF(F20="Yes",B20*((1+H20)^TimeToMaturity(L20,K20,"30 / 360")-1),-B20*((1+H20)^TimeToMaturity(L20,K20,"30 / 360")-1))</f>
        <v>10561651.984529829</v>
      </c>
      <c r="O20" s="128">
        <f ca="1">GetCPIDate(K20,E20,C20)</f>
        <v>40815</v>
      </c>
      <c r="P20" s="133">
        <f ca="1">GetReferenceCPI(K20,E20,C20,INDIRECT(D20&amp;"_Fixings"),FALSE)</f>
        <v>226.46629032258065</v>
      </c>
      <c r="Q20" s="128">
        <f t="shared" ca="1" si="13"/>
        <v>44468</v>
      </c>
      <c r="R20" s="131">
        <f t="shared" ca="1" si="7"/>
        <v>290.84342189494328</v>
      </c>
      <c r="S20" s="128">
        <f t="shared" si="8"/>
        <v>41421</v>
      </c>
      <c r="T20" s="136">
        <f t="shared" ca="1" si="9"/>
        <v>0.85155578594052017</v>
      </c>
      <c r="U20" s="132">
        <f t="shared" ca="1" si="29"/>
        <v>33200846.442777492</v>
      </c>
      <c r="V20" s="140">
        <f ca="1">VLOOKUP(Z20,'MX PV'!$C$2:$G$134,5,FALSE)</f>
        <v>33212764.275903601</v>
      </c>
      <c r="W20" s="141">
        <f t="shared" ca="1" si="19"/>
        <v>11917.833126109093</v>
      </c>
      <c r="X20" s="182"/>
      <c r="Y20" s="282" t="str">
        <f t="shared" ca="1" si="10"/>
        <v>Fail</v>
      </c>
      <c r="Z20" s="134" t="s">
        <v>135</v>
      </c>
      <c r="AA20" s="299"/>
      <c r="AB20" s="299"/>
      <c r="AC20" s="292"/>
      <c r="AD20" s="292"/>
    </row>
    <row r="21" spans="1:30">
      <c r="A21" s="309"/>
      <c r="B21" s="129">
        <v>100000000</v>
      </c>
      <c r="C21" s="127" t="str">
        <f t="shared" si="30"/>
        <v>Linear</v>
      </c>
      <c r="D21" s="127" t="s">
        <v>25</v>
      </c>
      <c r="E21" s="127">
        <v>12</v>
      </c>
      <c r="F21" s="127" t="s">
        <v>26</v>
      </c>
      <c r="G21" s="127" t="s">
        <v>75</v>
      </c>
      <c r="H21" s="125">
        <v>5.0000000000000001E-3</v>
      </c>
      <c r="I21" s="127" t="str">
        <f t="shared" si="31"/>
        <v>EUR</v>
      </c>
      <c r="J21" s="127">
        <f t="shared" si="32"/>
        <v>2</v>
      </c>
      <c r="K21" s="128">
        <f t="shared" ca="1" si="28"/>
        <v>41058</v>
      </c>
      <c r="L21" s="128">
        <f ca="1">AddTenorToDate(K21,GetNumsForString(G21),GetCharsForString(G21))</f>
        <v>50189</v>
      </c>
      <c r="M21" s="128">
        <f t="shared" ca="1" si="33"/>
        <v>50189</v>
      </c>
      <c r="N21" s="135">
        <f ca="1">IF(F21="Yes",B21*((1+H21)^TimeToMaturity(L21,K21,"30 / 360")-1),-B21*((1+H21)^TimeToMaturity(L21,K21,"30 / 360")-1))</f>
        <v>13279557.508641448</v>
      </c>
      <c r="O21" s="128">
        <f t="shared" ref="O21" ca="1" si="34">GetCPIDate(K21,E21,C21)</f>
        <v>40692</v>
      </c>
      <c r="P21" s="133">
        <f t="shared" ref="P21" ca="1" si="35">GetReferenceCPI(K21,E21,C21,INDIRECT(D21&amp;"_Fixings"),FALSE)</f>
        <v>122.37225806451613</v>
      </c>
      <c r="Q21" s="128">
        <f t="shared" ca="1" si="13"/>
        <v>49824</v>
      </c>
      <c r="R21" s="131">
        <f t="shared" ca="1" si="7"/>
        <v>214.27911445176858</v>
      </c>
      <c r="S21" s="128">
        <f t="shared" si="8"/>
        <v>41421</v>
      </c>
      <c r="T21" s="136">
        <f t="shared" ca="1" si="9"/>
        <v>0.57646276793335582</v>
      </c>
      <c r="U21" s="132">
        <f t="shared" ca="1" si="29"/>
        <v>-35639675.643638343</v>
      </c>
      <c r="V21" s="140">
        <f ca="1">VLOOKUP(Z21,'MX PV'!$C$2:$G$134,5,FALSE)</f>
        <v>-35639675.647363499</v>
      </c>
      <c r="W21" s="141">
        <f ca="1">(V21-U21)/100</f>
        <v>-3.7251561880111692E-5</v>
      </c>
      <c r="X21" s="182"/>
      <c r="Y21" s="282" t="str">
        <f ca="1">IF(ABS(W21)&lt;$E$2,"Pass","Fail")</f>
        <v>Pass</v>
      </c>
      <c r="Z21" s="134" t="s">
        <v>136</v>
      </c>
      <c r="AA21" s="299"/>
      <c r="AB21" s="299"/>
      <c r="AC21" s="276"/>
      <c r="AD21" s="276"/>
    </row>
    <row r="22" spans="1:30">
      <c r="A22" s="309"/>
      <c r="B22" s="79">
        <v>100000000</v>
      </c>
      <c r="C22" s="80" t="str">
        <f>IF(OR(D22="FR",D22="US"),"Linear","Piecewise")</f>
        <v>Piecewise</v>
      </c>
      <c r="D22" s="80" t="s">
        <v>23</v>
      </c>
      <c r="E22" s="80">
        <v>2</v>
      </c>
      <c r="F22" s="80" t="s">
        <v>27</v>
      </c>
      <c r="G22" s="80" t="s">
        <v>113</v>
      </c>
      <c r="H22" s="81">
        <v>0.01</v>
      </c>
      <c r="I22" s="80" t="str">
        <f>IF(OR(D22="FR",D22="EUR"),"EUR",IF(D22="GB","GBP","USD"))</f>
        <v>GBP</v>
      </c>
      <c r="J22" s="80">
        <f>IF(I22="GBP",0,2)</f>
        <v>0</v>
      </c>
      <c r="K22" s="82">
        <f t="shared" ca="1" si="28"/>
        <v>41057</v>
      </c>
      <c r="L22" s="82">
        <f ca="1">AddTenorToDate(K22,GetNumsForString(G22),GetCharsForString(G22))</f>
        <v>54571</v>
      </c>
      <c r="M22" s="82">
        <f ca="1">AddTenorToDateAsBDModFol(L22,"0D",INDIRECT(I22&amp;"Hols"))</f>
        <v>54571</v>
      </c>
      <c r="N22" s="83">
        <f ca="1">IF(F22="Yes",B22*((1+H22)^TimeToMaturity(L22,K22,"30 / 360")-1),-B22*((1+H22)^TimeToMaturity(L22,K22,"30 / 360")-1))</f>
        <v>-44507647.142749682</v>
      </c>
      <c r="O22" s="82">
        <f ca="1">GetCPIDate(K22,E22,C22)</f>
        <v>40969</v>
      </c>
      <c r="P22" s="84">
        <f ca="1">GetReferenceCPI(K22,E22,C22,INDIRECT(D22&amp;"_Fixings"),FALSE)</f>
        <v>240.8</v>
      </c>
      <c r="Q22" s="82">
        <f t="shared" ca="1" si="13"/>
        <v>54483</v>
      </c>
      <c r="R22" s="85">
        <f t="shared" ca="1" si="7"/>
        <v>819.64548846781815</v>
      </c>
      <c r="S22" s="82">
        <f t="shared" si="8"/>
        <v>41421</v>
      </c>
      <c r="T22" s="86">
        <f t="shared" ca="1" si="9"/>
        <v>0.32929614104910737</v>
      </c>
      <c r="U22" s="87">
        <f t="shared" ca="1" si="29"/>
        <v>64501438.771365896</v>
      </c>
      <c r="V22" s="183">
        <f ca="1">VLOOKUP(Z22,'MX PV'!$C$2:$G$134,5,FALSE)</f>
        <v>64501438.771469101</v>
      </c>
      <c r="W22" s="281">
        <f ca="1">(V22-U22)/10</f>
        <v>1.0320544242858887E-5</v>
      </c>
      <c r="X22" s="178"/>
      <c r="Y22" s="282" t="str">
        <f ca="1">IF(ABS(W22)&lt;$E$2,"Pass","Fail")</f>
        <v>Pass</v>
      </c>
      <c r="Z22" s="134" t="s">
        <v>137</v>
      </c>
      <c r="AA22" s="299"/>
      <c r="AB22" s="299"/>
    </row>
    <row r="23" spans="1:30" s="130" customFormat="1">
      <c r="A23" s="309"/>
      <c r="B23" s="79">
        <v>100000000</v>
      </c>
      <c r="C23" s="80" t="str">
        <f>IF(OR(D23="FR",D23="US"),"Linear","Piecewise")</f>
        <v>Piecewise</v>
      </c>
      <c r="D23" s="80" t="s">
        <v>22</v>
      </c>
      <c r="E23" s="80">
        <v>3</v>
      </c>
      <c r="F23" s="80" t="s">
        <v>27</v>
      </c>
      <c r="G23" s="80" t="s">
        <v>110</v>
      </c>
      <c r="H23" s="81">
        <v>1.4999999999999999E-2</v>
      </c>
      <c r="I23" s="80" t="str">
        <f>IF(OR(D23="FR",D23="EUR"),"EUR",IF(D23="GB","GBP","USD"))</f>
        <v>EUR</v>
      </c>
      <c r="J23" s="80">
        <f>IF(I23="GBP",0,2)</f>
        <v>2</v>
      </c>
      <c r="K23" s="82">
        <f t="shared" ca="1" si="28"/>
        <v>41058</v>
      </c>
      <c r="L23" s="82">
        <f ca="1">AddTenorToDate(K23,GetNumsForString(G23),GetCharsForString(G23))</f>
        <v>49824</v>
      </c>
      <c r="M23" s="82">
        <f ca="1">AddTenorToDateAsBDModFol(L23,"0D",INDIRECT(I23&amp;"Hols"))</f>
        <v>49824</v>
      </c>
      <c r="N23" s="83">
        <f ca="1">IF(F23="Yes",B23*((1+H23)^TimeToMaturity(L23,K23,"30 / 360")-1),-B23*((1+H23)^TimeToMaturity(L23,K23,"30 / 360")-1))</f>
        <v>-42950281.192902029</v>
      </c>
      <c r="O23" s="82">
        <f ca="1">GetCPIDate(K23,E23,C23)</f>
        <v>40940</v>
      </c>
      <c r="P23" s="84">
        <f ca="1">GetReferenceCPI(K23,E23,C23,INDIRECT(D23&amp;"_Fixings"),FALSE)</f>
        <v>113.53</v>
      </c>
      <c r="Q23" s="82">
        <f t="shared" ca="1" si="13"/>
        <v>49706</v>
      </c>
      <c r="R23" s="85">
        <f t="shared" ca="1" si="7"/>
        <v>191.49727706962562</v>
      </c>
      <c r="S23" s="82">
        <f t="shared" si="8"/>
        <v>41421</v>
      </c>
      <c r="T23" s="86">
        <f t="shared" ca="1" si="9"/>
        <v>0.59188623005283847</v>
      </c>
      <c r="U23" s="87">
        <f t="shared" ca="1" si="29"/>
        <v>15226393.350853026</v>
      </c>
      <c r="V23" s="183">
        <f ca="1">VLOOKUP(Z23,'MX PV'!$C$2:$G$134,5,FALSE)</f>
        <v>15226393.350853199</v>
      </c>
      <c r="W23" s="105">
        <f t="shared" ca="1" si="19"/>
        <v>1.73225998878479E-7</v>
      </c>
      <c r="X23" s="178"/>
      <c r="Y23" s="282" t="str">
        <f t="shared" ca="1" si="10"/>
        <v>Pass</v>
      </c>
      <c r="Z23" s="134" t="s">
        <v>138</v>
      </c>
      <c r="AA23" s="299"/>
      <c r="AB23" s="299"/>
    </row>
    <row r="24" spans="1:30">
      <c r="A24" s="309"/>
      <c r="B24" s="129">
        <v>100000000</v>
      </c>
      <c r="C24" s="127" t="str">
        <f t="shared" ref="C24:C27" si="36">IF(OR(D24="FR",D24="US"),"Linear","Piecewise")</f>
        <v>Linear</v>
      </c>
      <c r="D24" s="127" t="s">
        <v>24</v>
      </c>
      <c r="E24" s="127">
        <v>3</v>
      </c>
      <c r="F24" s="127" t="s">
        <v>27</v>
      </c>
      <c r="G24" s="127" t="s">
        <v>71</v>
      </c>
      <c r="H24" s="125">
        <v>2.7699999999999999E-2</v>
      </c>
      <c r="I24" s="127" t="str">
        <f t="shared" ref="I24:I27" si="37">IF(OR(D24="FR",D24="EUR"),"EUR",IF(D24="GB","GBP","USD"))</f>
        <v>USD</v>
      </c>
      <c r="J24" s="127">
        <f t="shared" ref="J24:J27" si="38">IF(I24="GBP",0,2)</f>
        <v>2</v>
      </c>
      <c r="K24" s="128">
        <f t="shared" ca="1" si="28"/>
        <v>41058</v>
      </c>
      <c r="L24" s="128">
        <f ca="1">AddTenorToDate(K24,GetNumsForString(G24),GetCharsForString(G24))</f>
        <v>44710</v>
      </c>
      <c r="M24" s="128">
        <f t="shared" ref="M24:M27" ca="1" si="39">AddTenorToDateAsBDModFol(L24,"0D",INDIRECT(I24&amp;"Hols"))</f>
        <v>44712</v>
      </c>
      <c r="N24" s="135">
        <f ca="1">IF(F24="Yes",B24*((1+H24)^TimeToMaturity(L24,K24,"30 / 360")-1),-B24*((1+H24)^TimeToMaturity(L24,K24,"30 / 360")-1))</f>
        <v>-31420636.206715845</v>
      </c>
      <c r="O24" s="128">
        <f ca="1">GetCPIDate(K24,E24,C24)</f>
        <v>40968</v>
      </c>
      <c r="P24" s="133">
        <f ca="1">GetReferenceCPI(K24,E24,C24,INDIRECT(D24&amp;"_Fixings"),FALSE)</f>
        <v>229.22467741935483</v>
      </c>
      <c r="Q24" s="128">
        <f t="shared" ca="1" si="13"/>
        <v>44620</v>
      </c>
      <c r="R24" s="133">
        <f t="shared" ca="1" si="7"/>
        <v>296.29074720955771</v>
      </c>
      <c r="S24" s="128">
        <f t="shared" si="8"/>
        <v>41421</v>
      </c>
      <c r="T24" s="136">
        <f t="shared" ca="1" si="9"/>
        <v>0.85155578594052017</v>
      </c>
      <c r="U24" s="132">
        <f t="shared" ca="1" si="29"/>
        <v>-1841786.0430462025</v>
      </c>
      <c r="V24" s="140">
        <f ca="1">VLOOKUP(Z24,'MX PV'!$C$2:$G$134,5,FALSE)</f>
        <v>-1812108.2478895599</v>
      </c>
      <c r="W24" s="141">
        <f t="shared" ca="1" si="19"/>
        <v>29677.795156642562</v>
      </c>
      <c r="X24" s="182"/>
      <c r="Y24" s="143" t="str">
        <f t="shared" ref="Y24:Y53" ca="1" si="40">IF(ABS(W24)&lt;$E$2,"Pass","Fail")</f>
        <v>Fail</v>
      </c>
      <c r="Z24" s="134" t="s">
        <v>139</v>
      </c>
      <c r="AA24" s="299"/>
      <c r="AB24" s="299"/>
    </row>
    <row r="25" spans="1:30">
      <c r="A25" s="309"/>
      <c r="B25" s="79">
        <v>100000000</v>
      </c>
      <c r="C25" s="80" t="str">
        <f t="shared" si="36"/>
        <v>Linear</v>
      </c>
      <c r="D25" s="80" t="s">
        <v>25</v>
      </c>
      <c r="E25" s="80">
        <v>3</v>
      </c>
      <c r="F25" s="80" t="s">
        <v>26</v>
      </c>
      <c r="G25" s="80" t="s">
        <v>76</v>
      </c>
      <c r="H25" s="81">
        <v>0.03</v>
      </c>
      <c r="I25" s="80" t="str">
        <f t="shared" si="37"/>
        <v>EUR</v>
      </c>
      <c r="J25" s="80">
        <f t="shared" si="38"/>
        <v>2</v>
      </c>
      <c r="K25" s="82">
        <f t="shared" ca="1" si="28"/>
        <v>41058</v>
      </c>
      <c r="L25" s="82">
        <f ca="1">AddTenorToDate(K25,GetNumsForString(G25),GetCharsForString(G25))</f>
        <v>52015</v>
      </c>
      <c r="M25" s="82">
        <f t="shared" ca="1" si="39"/>
        <v>52015</v>
      </c>
      <c r="N25" s="83">
        <f ca="1">IF(F25="Yes",B25*((1+H25)^TimeToMaturity(L25,K25,"30 / 360")-1),-B25*((1+H25)^TimeToMaturity(L25,K25,"30 / 360")-1))</f>
        <v>142726247.11896592</v>
      </c>
      <c r="O25" s="82">
        <f t="shared" ref="O25:O28" ca="1" si="41">GetCPIDate(K25,E25,C25)</f>
        <v>40968</v>
      </c>
      <c r="P25" s="84">
        <f t="shared" ref="P25:P28" ca="1" si="42">GetReferenceCPI(K25,E25,C25,INDIRECT(D25&amp;"_Fixings"),FALSE)</f>
        <v>124.35032258064517</v>
      </c>
      <c r="Q25" s="82">
        <f t="shared" ca="1" si="13"/>
        <v>51925</v>
      </c>
      <c r="R25" s="85">
        <f t="shared" ca="1" si="7"/>
        <v>247.20231500502211</v>
      </c>
      <c r="S25" s="82">
        <f t="shared" si="8"/>
        <v>41421</v>
      </c>
      <c r="T25" s="86">
        <f t="shared" ca="1" si="9"/>
        <v>0.50864149375197243</v>
      </c>
      <c r="U25" s="87">
        <f t="shared" ca="1" si="29"/>
        <v>22345217.83999794</v>
      </c>
      <c r="V25" s="183">
        <f ca="1">VLOOKUP(Z25,'MX PV'!$C$2:$G$134,5,FALSE)</f>
        <v>22345217.839997899</v>
      </c>
      <c r="W25" s="105">
        <f t="shared" ca="1" si="19"/>
        <v>-4.0978193283081055E-8</v>
      </c>
      <c r="X25" s="178"/>
      <c r="Y25" s="142" t="str">
        <f t="shared" ca="1" si="40"/>
        <v>Pass</v>
      </c>
      <c r="Z25" s="123" t="s">
        <v>140</v>
      </c>
      <c r="AA25" s="299"/>
      <c r="AB25" s="299"/>
    </row>
    <row r="26" spans="1:30">
      <c r="A26" s="309"/>
      <c r="B26" s="79">
        <v>100000000</v>
      </c>
      <c r="C26" s="80" t="str">
        <f t="shared" si="36"/>
        <v>Piecewise</v>
      </c>
      <c r="D26" s="80" t="s">
        <v>23</v>
      </c>
      <c r="E26" s="80">
        <v>6</v>
      </c>
      <c r="F26" s="80" t="s">
        <v>26</v>
      </c>
      <c r="G26" s="80" t="s">
        <v>61</v>
      </c>
      <c r="H26" s="81">
        <v>1.11E-2</v>
      </c>
      <c r="I26" s="80" t="str">
        <f t="shared" si="37"/>
        <v>GBP</v>
      </c>
      <c r="J26" s="80">
        <f t="shared" si="38"/>
        <v>0</v>
      </c>
      <c r="K26" s="82">
        <f ca="1">AddTenorToDateAsBD($B$4,J26&amp;"D",INDIRECT(I26&amp;"Hols"))</f>
        <v>41513</v>
      </c>
      <c r="L26" s="82">
        <f ca="1">AddTenorToDate(K26,GetNumsForString(G26),GetCharsForString(G26))</f>
        <v>41697</v>
      </c>
      <c r="M26" s="82">
        <f t="shared" ca="1" si="39"/>
        <v>41697</v>
      </c>
      <c r="N26" s="83">
        <f ca="1">IF(F26="Yes",B26*((1+H26)^TimeToMaturity(L26,K26,"30 / 360")-1),-B26*((1+H26)^TimeToMaturity(L26,K26,"30 / 360")-1))</f>
        <v>553468.36385108402</v>
      </c>
      <c r="O26" s="82">
        <f t="shared" ca="1" si="41"/>
        <v>41306</v>
      </c>
      <c r="P26" s="84">
        <f t="shared" ca="1" si="42"/>
        <v>247.6</v>
      </c>
      <c r="Q26" s="82">
        <f t="shared" ca="1" si="13"/>
        <v>41487</v>
      </c>
      <c r="R26" s="85">
        <f t="shared" ca="1" si="7"/>
        <v>251.44411280891416</v>
      </c>
      <c r="S26" s="82">
        <f t="shared" si="8"/>
        <v>41421</v>
      </c>
      <c r="T26" s="86">
        <f t="shared" ca="1" si="9"/>
        <v>0.99716649100101329</v>
      </c>
      <c r="U26" s="87">
        <f t="shared" ca="1" si="29"/>
        <v>-996250.33019935072</v>
      </c>
      <c r="V26" s="183">
        <f ca="1">VLOOKUP(Z26,'MX PV'!$C$2:$G$134,5,FALSE)</f>
        <v>-996250.33019934106</v>
      </c>
      <c r="W26" s="105">
        <f t="shared" ca="1" si="19"/>
        <v>9.6624717116355896E-9</v>
      </c>
      <c r="X26" s="178"/>
      <c r="Y26" s="142" t="str">
        <f t="shared" ca="1" si="40"/>
        <v>Pass</v>
      </c>
      <c r="Z26" s="123" t="s">
        <v>141</v>
      </c>
      <c r="AA26" s="299"/>
      <c r="AB26" s="299"/>
    </row>
    <row r="27" spans="1:30">
      <c r="A27" s="309"/>
      <c r="B27" s="129">
        <v>100000000</v>
      </c>
      <c r="C27" s="127" t="str">
        <f t="shared" si="36"/>
        <v>Piecewise</v>
      </c>
      <c r="D27" s="127" t="s">
        <v>22</v>
      </c>
      <c r="E27" s="127">
        <v>5</v>
      </c>
      <c r="F27" s="127" t="s">
        <v>27</v>
      </c>
      <c r="G27" s="127" t="s">
        <v>60</v>
      </c>
      <c r="H27" s="125">
        <v>1.4999999999999999E-2</v>
      </c>
      <c r="I27" s="127" t="str">
        <f t="shared" si="37"/>
        <v>EUR</v>
      </c>
      <c r="J27" s="127">
        <f t="shared" si="38"/>
        <v>2</v>
      </c>
      <c r="K27" s="128">
        <f ca="1">AddTenorToDateAsBD($B$4,J27&amp;"D",INDIRECT(I27&amp;"Hols"))</f>
        <v>41515</v>
      </c>
      <c r="L27" s="128">
        <f ca="1">AddTenorToDate(K27,GetNumsForString(G27),GetCharsForString(G27))</f>
        <v>41546</v>
      </c>
      <c r="M27" s="128">
        <f t="shared" ca="1" si="39"/>
        <v>41547</v>
      </c>
      <c r="N27" s="135">
        <f ca="1">IF(F27="Yes",B27*((1+H27)^TimeToMaturity(L27,K27,"30 / 360")-1),-B27*((1+H27)^TimeToMaturity(L27,K27,"30 / 360")-1))</f>
        <v>-124148.77164492743</v>
      </c>
      <c r="O27" s="128">
        <f t="shared" ca="1" si="41"/>
        <v>41334</v>
      </c>
      <c r="P27" s="133">
        <f t="shared" ca="1" si="42"/>
        <v>116.94</v>
      </c>
      <c r="Q27" s="128">
        <f t="shared" ca="1" si="13"/>
        <v>41365</v>
      </c>
      <c r="R27" s="131">
        <f t="shared" ca="1" si="7"/>
        <v>116.82</v>
      </c>
      <c r="S27" s="128">
        <f t="shared" si="8"/>
        <v>41421</v>
      </c>
      <c r="T27" s="136">
        <f t="shared" ca="1" si="9"/>
        <v>0.99977031047593201</v>
      </c>
      <c r="U27" s="132">
        <f t="shared" ca="1" si="29"/>
        <v>-226713.41251200516</v>
      </c>
      <c r="V27" s="140">
        <f ca="1">VLOOKUP(Z27,'MX PV'!$C$2:$G$134,5,FALSE)</f>
        <v>-226713.41251200801</v>
      </c>
      <c r="W27" s="141">
        <f t="shared" ca="1" si="19"/>
        <v>-2.852175384759903E-9</v>
      </c>
      <c r="X27" s="182"/>
      <c r="Y27" s="143" t="str">
        <f t="shared" ca="1" si="40"/>
        <v>Pass</v>
      </c>
      <c r="Z27" s="134" t="s">
        <v>142</v>
      </c>
      <c r="AA27" s="299"/>
      <c r="AB27" s="299"/>
    </row>
    <row r="28" spans="1:30">
      <c r="A28" s="309"/>
      <c r="B28" s="79">
        <v>100000000</v>
      </c>
      <c r="C28" s="80" t="str">
        <f t="shared" ref="C28:C30" si="43">IF(OR(D28="FR",D28="US"),"Linear","Piecewise")</f>
        <v>Linear</v>
      </c>
      <c r="D28" s="80" t="s">
        <v>24</v>
      </c>
      <c r="E28" s="80">
        <v>6</v>
      </c>
      <c r="F28" s="80" t="s">
        <v>27</v>
      </c>
      <c r="G28" s="80" t="s">
        <v>71</v>
      </c>
      <c r="H28" s="81">
        <v>2.7699999999999999E-2</v>
      </c>
      <c r="I28" s="80" t="str">
        <f t="shared" ref="I28:I30" si="44">IF(OR(D28="FR",D28="EUR"),"EUR",IF(D28="GB","GBP","USD"))</f>
        <v>USD</v>
      </c>
      <c r="J28" s="80">
        <f t="shared" ref="J28:J30" si="45">IF(I28="GBP",0,2)</f>
        <v>2</v>
      </c>
      <c r="K28" s="82">
        <f ca="1">AddTenorToDateAsBD($B$4,J28&amp;"D",INDIRECT(I28&amp;"Hols"))</f>
        <v>41515</v>
      </c>
      <c r="L28" s="82">
        <f ca="1">AddTenorToDate(K28,GetNumsForString(G28),GetCharsForString(G28))</f>
        <v>45167</v>
      </c>
      <c r="M28" s="82">
        <f t="shared" ref="M28:M30" ca="1" si="46">AddTenorToDateAsBDModFol(L28,"0D",INDIRECT(I28&amp;"Hols"))</f>
        <v>45167</v>
      </c>
      <c r="N28" s="83">
        <f ca="1">IF(F28="Yes",B28*((1+H28)^TimeToMaturity(L28,K28,"30 / 360")-1),-B28*((1+H28)^TimeToMaturity(L28,K28,"30 / 360")-1))</f>
        <v>-31420636.206715845</v>
      </c>
      <c r="O28" s="82">
        <f t="shared" ca="1" si="41"/>
        <v>41333</v>
      </c>
      <c r="P28" s="84">
        <f t="shared" ca="1" si="42"/>
        <v>232.71425806451612</v>
      </c>
      <c r="Q28" s="82">
        <f t="shared" ca="1" si="13"/>
        <v>44985</v>
      </c>
      <c r="R28" s="85">
        <f t="shared" ca="1" si="7"/>
        <v>305.70959313808709</v>
      </c>
      <c r="S28" s="82">
        <f t="shared" si="8"/>
        <v>41421</v>
      </c>
      <c r="T28" s="86">
        <f t="shared" ca="1" si="9"/>
        <v>0.81403719644185069</v>
      </c>
      <c r="U28" s="87">
        <f t="shared" ca="1" si="29"/>
        <v>-43713.026997125256</v>
      </c>
      <c r="V28" s="183">
        <f ca="1">VLOOKUP(Z28,'MX PV'!$C$2:$G$134,5,FALSE)</f>
        <v>-43713.026962585704</v>
      </c>
      <c r="W28" s="105">
        <f t="shared" ca="1" si="19"/>
        <v>3.4539552871137857E-5</v>
      </c>
      <c r="X28" s="178"/>
      <c r="Y28" s="142" t="str">
        <f t="shared" ca="1" si="40"/>
        <v>Pass</v>
      </c>
      <c r="Z28" s="123" t="s">
        <v>143</v>
      </c>
      <c r="AA28" s="299"/>
      <c r="AB28" s="299"/>
    </row>
    <row r="29" spans="1:30">
      <c r="A29" s="310"/>
      <c r="B29" s="88">
        <v>100000000</v>
      </c>
      <c r="C29" s="172" t="str">
        <f t="shared" si="43"/>
        <v>Linear</v>
      </c>
      <c r="D29" s="172" t="s">
        <v>25</v>
      </c>
      <c r="E29" s="172">
        <v>6</v>
      </c>
      <c r="F29" s="172" t="s">
        <v>27</v>
      </c>
      <c r="G29" s="172" t="s">
        <v>76</v>
      </c>
      <c r="H29" s="89">
        <v>0.03</v>
      </c>
      <c r="I29" s="172" t="str">
        <f t="shared" si="44"/>
        <v>EUR</v>
      </c>
      <c r="J29" s="172">
        <f t="shared" si="45"/>
        <v>2</v>
      </c>
      <c r="K29" s="90">
        <f ca="1">AddTenorToDateAsBD($B$4,J29&amp;"D",INDIRECT(I29&amp;"Hols"))</f>
        <v>41515</v>
      </c>
      <c r="L29" s="90">
        <f ca="1">AddTenorToDate(K29,GetNumsForString(G29),GetCharsForString(G29))</f>
        <v>52472</v>
      </c>
      <c r="M29" s="90">
        <f t="shared" ca="1" si="46"/>
        <v>52474</v>
      </c>
      <c r="N29" s="91">
        <f ca="1">IF(F29="Yes",B29*((1+H29)^TimeToMaturity(L29,K29,"30 / 360")-1),-B29*((1+H29)^TimeToMaturity(L29,K29,"30 / 360")-1))</f>
        <v>-142726247.11896592</v>
      </c>
      <c r="O29" s="90">
        <f t="shared" ref="O29:O30" ca="1" si="47">GetCPIDate(K29,E29,C29)</f>
        <v>41333</v>
      </c>
      <c r="P29" s="92">
        <f t="shared" ref="P29:P30" ca="1" si="48">GetReferenceCPI(K29,E29,C29,INDIRECT(D29&amp;"_Fixings"),FALSE)</f>
        <v>125.32903225806452</v>
      </c>
      <c r="Q29" s="90">
        <f t="shared" ca="1" si="13"/>
        <v>52290</v>
      </c>
      <c r="R29" s="93">
        <f t="shared" ca="1" si="7"/>
        <v>253.2879886160832</v>
      </c>
      <c r="S29" s="90">
        <f t="shared" si="8"/>
        <v>41421</v>
      </c>
      <c r="T29" s="94">
        <f t="shared" ca="1" si="9"/>
        <v>0.49303743351247503</v>
      </c>
      <c r="U29" s="95">
        <f t="shared" ca="1" si="29"/>
        <v>-20031041.727895949</v>
      </c>
      <c r="V29" s="183">
        <f ca="1">VLOOKUP(Z29,'MX PV'!$C$2:$G$134,5,FALSE)</f>
        <v>-20018073.0400397</v>
      </c>
      <c r="W29" s="105">
        <f t="shared" ca="1" si="19"/>
        <v>12968.687856249511</v>
      </c>
      <c r="X29" s="178"/>
      <c r="Y29" s="142" t="str">
        <f t="shared" ca="1" si="40"/>
        <v>Fail</v>
      </c>
      <c r="Z29" s="123" t="s">
        <v>144</v>
      </c>
      <c r="AA29" s="299"/>
      <c r="AB29" s="299"/>
    </row>
    <row r="30" spans="1:30" ht="15" customHeight="1">
      <c r="A30" s="305" t="s">
        <v>98</v>
      </c>
      <c r="B30" s="70">
        <v>100000000</v>
      </c>
      <c r="C30" s="71" t="str">
        <f t="shared" si="43"/>
        <v>Piecewise</v>
      </c>
      <c r="D30" s="71" t="s">
        <v>23</v>
      </c>
      <c r="E30" s="71">
        <v>3</v>
      </c>
      <c r="F30" s="71" t="s">
        <v>27</v>
      </c>
      <c r="G30" s="71" t="s">
        <v>61</v>
      </c>
      <c r="H30" s="72">
        <v>0.01</v>
      </c>
      <c r="I30" s="71" t="str">
        <f t="shared" si="44"/>
        <v>GBP</v>
      </c>
      <c r="J30" s="71">
        <f t="shared" si="45"/>
        <v>0</v>
      </c>
      <c r="K30" s="73">
        <f t="shared" ref="K30:K61" ca="1" si="49">AddTenorToDateAsBD($B$2,J30&amp;"D",INDIRECT(I30&amp;"Hols"))</f>
        <v>41422</v>
      </c>
      <c r="L30" s="73">
        <f ca="1">AddTenorToDate(K30,GetNumsForString(G30),GetCharsForString(G30))</f>
        <v>41606</v>
      </c>
      <c r="M30" s="73">
        <f t="shared" ca="1" si="46"/>
        <v>41606</v>
      </c>
      <c r="N30" s="74">
        <f ca="1">IF(F30="Yes",B30*((1+H30)^TimeToMaturity(L30,K30,"30 / 360")-1),-B30*((1+H30)^TimeToMaturity(L30,K30,"30 / 360")-1))</f>
        <v>-498756.21120889502</v>
      </c>
      <c r="O30" s="73">
        <f t="shared" ca="1" si="47"/>
        <v>41306</v>
      </c>
      <c r="P30" s="75">
        <f t="shared" ca="1" si="48"/>
        <v>247.6</v>
      </c>
      <c r="Q30" s="73">
        <f t="shared" ca="1" si="13"/>
        <v>41487</v>
      </c>
      <c r="R30" s="76">
        <f t="shared" ca="1" si="7"/>
        <v>251.44411280891416</v>
      </c>
      <c r="S30" s="73">
        <f t="shared" si="8"/>
        <v>41421</v>
      </c>
      <c r="T30" s="77">
        <f t="shared" ca="1" si="9"/>
        <v>0.99802887712485233</v>
      </c>
      <c r="U30" s="78">
        <f t="shared" ca="1" si="29"/>
        <v>1051716.232260322</v>
      </c>
      <c r="V30" s="101">
        <f ca="1">VLOOKUP(Z30,'MX PV'!$C$2:$G$134,5,FALSE)</f>
        <v>1051716.2322603001</v>
      </c>
      <c r="W30" s="114">
        <f t="shared" ca="1" si="19"/>
        <v>-2.1886080503463745E-8</v>
      </c>
      <c r="X30" s="178"/>
      <c r="Y30" s="142" t="str">
        <f t="shared" ca="1" si="40"/>
        <v>Pass</v>
      </c>
      <c r="Z30" s="123" t="s">
        <v>145</v>
      </c>
      <c r="AA30" s="299"/>
      <c r="AB30" s="299"/>
    </row>
    <row r="31" spans="1:30">
      <c r="A31" s="306"/>
      <c r="B31" s="79">
        <v>100000000</v>
      </c>
      <c r="C31" s="80" t="str">
        <f t="shared" ref="C31" si="50">IF(OR(D31="FR",D31="US"),"Linear","Piecewise")</f>
        <v>Piecewise</v>
      </c>
      <c r="D31" s="80" t="s">
        <v>23</v>
      </c>
      <c r="E31" s="80">
        <v>4</v>
      </c>
      <c r="F31" s="80" t="s">
        <v>27</v>
      </c>
      <c r="G31" s="80" t="s">
        <v>61</v>
      </c>
      <c r="H31" s="81">
        <v>1.2E-2</v>
      </c>
      <c r="I31" s="80" t="str">
        <f t="shared" ref="I31" si="51">IF(OR(D31="FR",D31="EUR"),"EUR",IF(D31="GB","GBP","USD"))</f>
        <v>GBP</v>
      </c>
      <c r="J31" s="80">
        <f t="shared" ref="J31" si="52">IF(I31="GBP",0,2)</f>
        <v>0</v>
      </c>
      <c r="K31" s="82">
        <f t="shared" ca="1" si="49"/>
        <v>41422</v>
      </c>
      <c r="L31" s="82">
        <f ca="1">AddTenorToDate(K31,GetNumsForString(G31),GetCharsForString(G31))</f>
        <v>41606</v>
      </c>
      <c r="M31" s="82">
        <f t="shared" ref="M31" ca="1" si="53">AddTenorToDateAsBDModFol(L31,"0D",INDIRECT(I31&amp;"Hols"))</f>
        <v>41606</v>
      </c>
      <c r="N31" s="83">
        <f ca="1">IF(F31="Yes",B31*((1+H31)^TimeToMaturity(L31,K31,"30 / 360")-1),-B31*((1+H31)^TimeToMaturity(L31,K31,"30 / 360")-1))</f>
        <v>-598210.71967434138</v>
      </c>
      <c r="O31" s="82">
        <f t="shared" ref="O31" ca="1" si="54">GetCPIDate(K31,E31,C31)</f>
        <v>41275</v>
      </c>
      <c r="P31" s="84">
        <f t="shared" ref="P31" ca="1" si="55">GetReferenceCPI(K31,E31,C31,INDIRECT(D31&amp;"_Fixings"),FALSE)</f>
        <v>245.8</v>
      </c>
      <c r="Q31" s="82">
        <f t="shared" ca="1" si="13"/>
        <v>41456</v>
      </c>
      <c r="R31" s="85">
        <f t="shared" ca="1" si="7"/>
        <v>249.28519257010203</v>
      </c>
      <c r="S31" s="82">
        <f t="shared" si="8"/>
        <v>41421</v>
      </c>
      <c r="T31" s="86">
        <f t="shared" ca="1" si="9"/>
        <v>0.99802887712485233</v>
      </c>
      <c r="U31" s="87">
        <f t="shared" ca="1" si="29"/>
        <v>818071.28611087531</v>
      </c>
      <c r="V31" s="102">
        <f ca="1">VLOOKUP(Z31,'MX PV'!$C$2:$G$134,5,FALSE)</f>
        <v>818071.286110883</v>
      </c>
      <c r="W31" s="105">
        <f t="shared" ca="1" si="19"/>
        <v>7.6834112405776978E-9</v>
      </c>
      <c r="X31" s="178"/>
      <c r="Y31" s="142" t="str">
        <f t="shared" ca="1" si="40"/>
        <v>Pass</v>
      </c>
      <c r="Z31" s="123" t="s">
        <v>146</v>
      </c>
      <c r="AA31" s="299"/>
      <c r="AB31" s="299"/>
    </row>
    <row r="32" spans="1:30">
      <c r="A32" s="306"/>
      <c r="B32" s="79">
        <v>100000000</v>
      </c>
      <c r="C32" s="80" t="str">
        <f t="shared" ref="C32:C45" si="56">IF(OR(D32="FR",D32="US"),"Linear","Piecewise")</f>
        <v>Piecewise</v>
      </c>
      <c r="D32" s="80" t="s">
        <v>22</v>
      </c>
      <c r="E32" s="80">
        <v>3</v>
      </c>
      <c r="F32" s="80" t="s">
        <v>27</v>
      </c>
      <c r="G32" s="80" t="s">
        <v>62</v>
      </c>
      <c r="H32" s="81">
        <v>1.4999999999999999E-2</v>
      </c>
      <c r="I32" s="80" t="str">
        <f t="shared" ref="I32:I45" si="57">IF(OR(D32="FR",D32="EUR"),"EUR",IF(D32="GB","GBP","USD"))</f>
        <v>EUR</v>
      </c>
      <c r="J32" s="80">
        <f t="shared" ref="J32:J45" si="58">IF(I32="GBP",0,2)</f>
        <v>2</v>
      </c>
      <c r="K32" s="82">
        <f t="shared" ca="1" si="49"/>
        <v>41423</v>
      </c>
      <c r="L32" s="82">
        <f ca="1">AddTenorToDate(K32,GetNumsForString(G32),GetCharsForString(G32))</f>
        <v>41668</v>
      </c>
      <c r="M32" s="82">
        <f t="shared" ref="M32:M45" ca="1" si="59">AddTenorToDateAsBDModFol(L32,"0D",INDIRECT(I32&amp;"Hols"))</f>
        <v>41668</v>
      </c>
      <c r="N32" s="83">
        <f ca="1">IF(F32="Yes",B32*((1+H32)^TimeToMaturity(L32,K32,"30 / 360")-1),-B32*((1+H32)^TimeToMaturity(L32,K32,"30 / 360")-1))</f>
        <v>-997516.52227604296</v>
      </c>
      <c r="O32" s="82">
        <f t="shared" ref="O32:O45" ca="1" si="60">GetCPIDate(K32,E32,C32)</f>
        <v>41306</v>
      </c>
      <c r="P32" s="84">
        <f t="shared" ref="P32:P45" ca="1" si="61">GetReferenceCPI(K32,E32,C32,INDIRECT(D32&amp;"_Fixings"),FALSE)</f>
        <v>115.55</v>
      </c>
      <c r="Q32" s="82">
        <f t="shared" ca="1" si="13"/>
        <v>41548</v>
      </c>
      <c r="R32" s="85">
        <f t="shared" ca="1" si="7"/>
        <v>116.70536495678532</v>
      </c>
      <c r="S32" s="82">
        <f t="shared" si="8"/>
        <v>41421</v>
      </c>
      <c r="T32" s="86">
        <f t="shared" ca="1" si="9"/>
        <v>0.99960223516181401</v>
      </c>
      <c r="U32" s="87">
        <f t="shared" ca="1" si="29"/>
        <v>2365.6664314468539</v>
      </c>
      <c r="V32" s="102">
        <f ca="1">VLOOKUP(Z32,'MX PV'!$C$2:$G$134,5,FALSE)</f>
        <v>2365.6664314541299</v>
      </c>
      <c r="W32" s="105">
        <f t="shared" ca="1" si="19"/>
        <v>7.2759576141834259E-9</v>
      </c>
      <c r="X32" s="178"/>
      <c r="Y32" s="142" t="str">
        <f t="shared" ca="1" si="40"/>
        <v>Pass</v>
      </c>
      <c r="Z32" s="134" t="s">
        <v>147</v>
      </c>
      <c r="AA32" s="299"/>
      <c r="AB32" s="299"/>
    </row>
    <row r="33" spans="1:28">
      <c r="A33" s="306"/>
      <c r="B33" s="79">
        <v>100000000</v>
      </c>
      <c r="C33" s="80" t="str">
        <f t="shared" si="56"/>
        <v>Piecewise</v>
      </c>
      <c r="D33" s="80" t="s">
        <v>22</v>
      </c>
      <c r="E33" s="80">
        <v>4</v>
      </c>
      <c r="F33" s="80" t="s">
        <v>27</v>
      </c>
      <c r="G33" s="80" t="s">
        <v>62</v>
      </c>
      <c r="H33" s="81">
        <v>0.01</v>
      </c>
      <c r="I33" s="80" t="str">
        <f t="shared" si="57"/>
        <v>EUR</v>
      </c>
      <c r="J33" s="80">
        <f t="shared" si="58"/>
        <v>2</v>
      </c>
      <c r="K33" s="82">
        <f t="shared" ca="1" si="49"/>
        <v>41423</v>
      </c>
      <c r="L33" s="82">
        <f ca="1">AddTenorToDate(K33,GetNumsForString(G33),GetCharsForString(G33))</f>
        <v>41668</v>
      </c>
      <c r="M33" s="82">
        <f t="shared" ca="1" si="59"/>
        <v>41668</v>
      </c>
      <c r="N33" s="83">
        <f ca="1">IF(F33="Yes",B33*((1+H33)^TimeToMaturity(L33,K33,"30 / 360")-1),-B33*((1+H33)^TimeToMaturity(L33,K33,"30 / 360")-1))</f>
        <v>-665560.4652112457</v>
      </c>
      <c r="O33" s="82">
        <f t="shared" ca="1" si="60"/>
        <v>41275</v>
      </c>
      <c r="P33" s="84">
        <f t="shared" ca="1" si="61"/>
        <v>115.13</v>
      </c>
      <c r="Q33" s="82">
        <f t="shared" ca="1" si="13"/>
        <v>41518</v>
      </c>
      <c r="R33" s="85">
        <f t="shared" ca="1" si="7"/>
        <v>116.71986277936118</v>
      </c>
      <c r="S33" s="82">
        <f t="shared" si="8"/>
        <v>41421</v>
      </c>
      <c r="T33" s="86">
        <f t="shared" ca="1" si="9"/>
        <v>0.99960223516181401</v>
      </c>
      <c r="U33" s="87">
        <f t="shared" ca="1" si="29"/>
        <v>715083.31055605249</v>
      </c>
      <c r="V33" s="102">
        <f ca="1">VLOOKUP(Z33,'MX PV'!$C$2:$G$134,5,FALSE)</f>
        <v>715083.31055604701</v>
      </c>
      <c r="W33" s="105">
        <f t="shared" ca="1" si="19"/>
        <v>-5.4715201258659363E-9</v>
      </c>
      <c r="X33" s="178"/>
      <c r="Y33" s="142" t="str">
        <f t="shared" ca="1" si="40"/>
        <v>Pass</v>
      </c>
      <c r="Z33" s="134" t="s">
        <v>148</v>
      </c>
      <c r="AA33" s="299"/>
      <c r="AB33" s="299"/>
    </row>
    <row r="34" spans="1:28">
      <c r="A34" s="306"/>
      <c r="B34" s="79">
        <v>100000000</v>
      </c>
      <c r="C34" s="80" t="str">
        <f t="shared" si="56"/>
        <v>Linear</v>
      </c>
      <c r="D34" s="80" t="s">
        <v>24</v>
      </c>
      <c r="E34" s="80">
        <v>3</v>
      </c>
      <c r="F34" s="80" t="s">
        <v>27</v>
      </c>
      <c r="G34" s="80" t="s">
        <v>96</v>
      </c>
      <c r="H34" s="81">
        <v>2.5000000000000001E-2</v>
      </c>
      <c r="I34" s="80" t="str">
        <f t="shared" si="57"/>
        <v>USD</v>
      </c>
      <c r="J34" s="80">
        <f t="shared" si="58"/>
        <v>2</v>
      </c>
      <c r="K34" s="82">
        <f t="shared" ca="1" si="49"/>
        <v>41423</v>
      </c>
      <c r="L34" s="82">
        <f ca="1">AddTenorToDate(K34,GetNumsForString(G34),GetCharsForString(G34))</f>
        <v>42214</v>
      </c>
      <c r="M34" s="82">
        <f t="shared" ca="1" si="59"/>
        <v>42214</v>
      </c>
      <c r="N34" s="83">
        <f ca="1">IF(F34="Yes",B34*((1+H34)^TimeToMaturity(L34,K34,"30 / 360")-1),-B34*((1+H34)^TimeToMaturity(L34,K34,"30 / 360")-1))</f>
        <v>-5495768.8685566941</v>
      </c>
      <c r="O34" s="82">
        <f t="shared" ca="1" si="60"/>
        <v>41333</v>
      </c>
      <c r="P34" s="84">
        <f t="shared" ca="1" si="61"/>
        <v>232.71425806451612</v>
      </c>
      <c r="Q34" s="82">
        <f t="shared" ca="1" si="13"/>
        <v>42123</v>
      </c>
      <c r="R34" s="85">
        <f t="shared" ca="1" si="7"/>
        <v>242.36324020120517</v>
      </c>
      <c r="S34" s="82">
        <f t="shared" si="8"/>
        <v>41421</v>
      </c>
      <c r="T34" s="86">
        <f t="shared" ca="1" si="9"/>
        <v>0.99522148102459507</v>
      </c>
      <c r="U34" s="87">
        <f t="shared" ca="1" si="29"/>
        <v>-1343041.4234093172</v>
      </c>
      <c r="V34" s="102">
        <f ca="1">VLOOKUP(Z34,'MX PV'!$C$2:$G$134,5,FALSE)</f>
        <v>-1343041.4234087199</v>
      </c>
      <c r="W34" s="105">
        <f t="shared" ca="1" si="19"/>
        <v>5.972106009721756E-7</v>
      </c>
      <c r="X34" s="178"/>
      <c r="Y34" s="142" t="str">
        <f t="shared" ca="1" si="40"/>
        <v>Pass</v>
      </c>
      <c r="Z34" s="123" t="s">
        <v>149</v>
      </c>
      <c r="AA34" s="299"/>
      <c r="AB34" s="299"/>
    </row>
    <row r="35" spans="1:28">
      <c r="A35" s="306"/>
      <c r="B35" s="79">
        <v>100000000</v>
      </c>
      <c r="C35" s="80" t="str">
        <f t="shared" si="56"/>
        <v>Linear</v>
      </c>
      <c r="D35" s="80" t="s">
        <v>24</v>
      </c>
      <c r="E35" s="80">
        <v>4</v>
      </c>
      <c r="F35" s="80" t="s">
        <v>27</v>
      </c>
      <c r="G35" s="80" t="s">
        <v>96</v>
      </c>
      <c r="H35" s="81">
        <v>1.6E-2</v>
      </c>
      <c r="I35" s="80" t="str">
        <f t="shared" si="57"/>
        <v>USD</v>
      </c>
      <c r="J35" s="80">
        <f t="shared" si="58"/>
        <v>2</v>
      </c>
      <c r="K35" s="82">
        <f t="shared" ca="1" si="49"/>
        <v>41423</v>
      </c>
      <c r="L35" s="82">
        <f ca="1">AddTenorToDate(K35,GetNumsForString(G35),GetCharsForString(G35))</f>
        <v>42214</v>
      </c>
      <c r="M35" s="82">
        <f t="shared" ca="1" si="59"/>
        <v>42214</v>
      </c>
      <c r="N35" s="83">
        <f ca="1">IF(F35="Yes",B35*((1+H35)^TimeToMaturity(L35,K35,"30 / 360")-1),-B35*((1+H35)^TimeToMaturity(L35,K35,"30 / 360")-1))</f>
        <v>-3499050.8874059631</v>
      </c>
      <c r="O35" s="82">
        <f t="shared" ca="1" si="60"/>
        <v>41303</v>
      </c>
      <c r="P35" s="84">
        <f t="shared" ca="1" si="61"/>
        <v>231.98348387096775</v>
      </c>
      <c r="Q35" s="82">
        <f t="shared" ca="1" si="13"/>
        <v>42092</v>
      </c>
      <c r="R35" s="85">
        <f t="shared" ca="1" si="7"/>
        <v>242.10766253437617</v>
      </c>
      <c r="S35" s="82">
        <f t="shared" si="8"/>
        <v>41421</v>
      </c>
      <c r="T35" s="86">
        <f t="shared" ca="1" si="9"/>
        <v>0.99522148102459507</v>
      </c>
      <c r="U35" s="87">
        <f t="shared" ca="1" si="29"/>
        <v>860995.87337982352</v>
      </c>
      <c r="V35" s="102">
        <f ca="1">VLOOKUP(Z35,'MX PV'!$C$2:$G$134,5,FALSE)</f>
        <v>860995.87338026299</v>
      </c>
      <c r="W35" s="105">
        <f t="shared" ca="1" si="19"/>
        <v>4.3946783989667892E-7</v>
      </c>
      <c r="X35" s="178"/>
      <c r="Y35" s="142" t="str">
        <f t="shared" ca="1" si="40"/>
        <v>Pass</v>
      </c>
      <c r="Z35" s="123" t="s">
        <v>150</v>
      </c>
      <c r="AA35" s="299"/>
      <c r="AB35" s="299"/>
    </row>
    <row r="36" spans="1:28">
      <c r="A36" s="306"/>
      <c r="B36" s="79">
        <v>100000000</v>
      </c>
      <c r="C36" s="80" t="str">
        <f t="shared" si="56"/>
        <v>Linear</v>
      </c>
      <c r="D36" s="80" t="s">
        <v>25</v>
      </c>
      <c r="E36" s="80">
        <v>3</v>
      </c>
      <c r="F36" s="80" t="s">
        <v>27</v>
      </c>
      <c r="G36" s="80" t="s">
        <v>97</v>
      </c>
      <c r="H36" s="81">
        <v>1.7999999999999999E-2</v>
      </c>
      <c r="I36" s="80" t="str">
        <f t="shared" si="57"/>
        <v>EUR</v>
      </c>
      <c r="J36" s="80">
        <f t="shared" si="58"/>
        <v>2</v>
      </c>
      <c r="K36" s="82">
        <f t="shared" ca="1" si="49"/>
        <v>41423</v>
      </c>
      <c r="L36" s="82">
        <f ca="1">AddTenorToDate(K36,GetNumsForString(G36),GetCharsForString(G36))</f>
        <v>51285</v>
      </c>
      <c r="M36" s="82">
        <f t="shared" ca="1" si="59"/>
        <v>51285</v>
      </c>
      <c r="N36" s="83">
        <f ca="1">IF(F36="Yes",B36*((1+H36)^TimeToMaturity(L36,K36,"30 / 360")-1),-B36*((1+H36)^TimeToMaturity(L36,K36,"30 / 360")-1))</f>
        <v>-61878811.067861617</v>
      </c>
      <c r="O36" s="82">
        <f t="shared" ca="1" si="60"/>
        <v>41333</v>
      </c>
      <c r="P36" s="84">
        <f t="shared" ca="1" si="61"/>
        <v>125.32903225806452</v>
      </c>
      <c r="Q36" s="82">
        <f t="shared" ca="1" si="13"/>
        <v>51195</v>
      </c>
      <c r="R36" s="85">
        <f t="shared" ca="1" si="7"/>
        <v>235.46459503982388</v>
      </c>
      <c r="S36" s="82">
        <f t="shared" si="8"/>
        <v>41421</v>
      </c>
      <c r="T36" s="86">
        <f t="shared" ca="1" si="9"/>
        <v>0.53441840445059441</v>
      </c>
      <c r="U36" s="87">
        <f t="shared" ca="1" si="29"/>
        <v>13893982.755888449</v>
      </c>
      <c r="V36" s="102">
        <f ca="1">VLOOKUP(Z36,'MX PV'!$C$2:$G$134,5,FALSE)</f>
        <v>13893982.755888</v>
      </c>
      <c r="W36" s="105">
        <f t="shared" ca="1" si="19"/>
        <v>-4.4889748096466064E-7</v>
      </c>
      <c r="X36" s="178"/>
      <c r="Y36" s="142" t="str">
        <f t="shared" ca="1" si="40"/>
        <v>Pass</v>
      </c>
      <c r="Z36" s="123" t="s">
        <v>151</v>
      </c>
      <c r="AA36" s="299"/>
      <c r="AB36" s="299"/>
    </row>
    <row r="37" spans="1:28">
      <c r="A37" s="307"/>
      <c r="B37" s="88">
        <v>100000000</v>
      </c>
      <c r="C37" s="172" t="str">
        <f t="shared" si="56"/>
        <v>Linear</v>
      </c>
      <c r="D37" s="172" t="s">
        <v>25</v>
      </c>
      <c r="E37" s="172">
        <v>4</v>
      </c>
      <c r="F37" s="172" t="s">
        <v>27</v>
      </c>
      <c r="G37" s="172" t="s">
        <v>97</v>
      </c>
      <c r="H37" s="89">
        <v>0.02</v>
      </c>
      <c r="I37" s="172" t="str">
        <f t="shared" si="57"/>
        <v>EUR</v>
      </c>
      <c r="J37" s="172">
        <f t="shared" si="58"/>
        <v>2</v>
      </c>
      <c r="K37" s="90">
        <f t="shared" ca="1" si="49"/>
        <v>41423</v>
      </c>
      <c r="L37" s="90">
        <f ca="1">AddTenorToDate(K37,GetNumsForString(G37),GetCharsForString(G37))</f>
        <v>51285</v>
      </c>
      <c r="M37" s="90">
        <f t="shared" ca="1" si="59"/>
        <v>51285</v>
      </c>
      <c r="N37" s="91">
        <f ca="1">IF(F37="Yes",B37*((1+H37)^TimeToMaturity(L37,K37,"30 / 360")-1),-B37*((1+H37)^TimeToMaturity(L37,K37,"30 / 360")-1))</f>
        <v>-70688647.664110452</v>
      </c>
      <c r="O37" s="90">
        <f t="shared" ca="1" si="60"/>
        <v>41303</v>
      </c>
      <c r="P37" s="92">
        <f t="shared" ca="1" si="61"/>
        <v>124.44903225806452</v>
      </c>
      <c r="Q37" s="90">
        <f t="shared" ca="1" si="13"/>
        <v>51164</v>
      </c>
      <c r="R37" s="93">
        <f t="shared" ca="1" si="7"/>
        <v>234.79841593790098</v>
      </c>
      <c r="S37" s="90">
        <f t="shared" si="8"/>
        <v>41421</v>
      </c>
      <c r="T37" s="94">
        <f t="shared" ca="1" si="9"/>
        <v>0.53441840445059441</v>
      </c>
      <c r="U37" s="95">
        <f t="shared" ca="1" si="29"/>
        <v>9609748.8948355261</v>
      </c>
      <c r="V37" s="103">
        <f ca="1">VLOOKUP(Z37,'MX PV'!$C$2:$G$134,5,FALSE)</f>
        <v>9609748.8948354404</v>
      </c>
      <c r="W37" s="115">
        <f t="shared" ca="1" si="19"/>
        <v>-8.5681676864624023E-8</v>
      </c>
      <c r="X37" s="178"/>
      <c r="Y37" s="142" t="str">
        <f t="shared" ca="1" si="40"/>
        <v>Pass</v>
      </c>
      <c r="Z37" s="123" t="s">
        <v>152</v>
      </c>
      <c r="AA37" s="299"/>
      <c r="AB37" s="299"/>
    </row>
    <row r="38" spans="1:28" ht="15" customHeight="1">
      <c r="A38" s="308" t="s">
        <v>101</v>
      </c>
      <c r="B38" s="70">
        <v>100000000</v>
      </c>
      <c r="C38" s="71" t="str">
        <f t="shared" si="56"/>
        <v>Linear</v>
      </c>
      <c r="D38" s="71" t="s">
        <v>24</v>
      </c>
      <c r="E38" s="71">
        <v>3</v>
      </c>
      <c r="F38" s="71" t="s">
        <v>27</v>
      </c>
      <c r="G38" s="71" t="s">
        <v>99</v>
      </c>
      <c r="H38" s="72">
        <v>1.6E-2</v>
      </c>
      <c r="I38" s="71" t="str">
        <f t="shared" si="57"/>
        <v>USD</v>
      </c>
      <c r="J38" s="71">
        <f t="shared" si="58"/>
        <v>2</v>
      </c>
      <c r="K38" s="73">
        <f t="shared" ca="1" si="49"/>
        <v>41423</v>
      </c>
      <c r="L38" s="73">
        <f ca="1">DATE(YEAR(K38)+3,4,DAY(K38))</f>
        <v>42489</v>
      </c>
      <c r="M38" s="73">
        <f t="shared" ca="1" si="59"/>
        <v>42489</v>
      </c>
      <c r="N38" s="74">
        <f ca="1">IF(F38="Yes",B38*((1+H38)^TimeToMaturity(L38,K38,"30 / 360")-1),-B38*((1+H38)^TimeToMaturity(L38,K38,"30 / 360")-1))</f>
        <v>-4738571.933175684</v>
      </c>
      <c r="O38" s="73">
        <f t="shared" ca="1" si="60"/>
        <v>41333</v>
      </c>
      <c r="P38" s="75">
        <f t="shared" ca="1" si="61"/>
        <v>232.71425806451612</v>
      </c>
      <c r="Q38" s="73">
        <f t="shared" ca="1" si="13"/>
        <v>42398</v>
      </c>
      <c r="R38" s="76">
        <f t="shared" ca="1" si="7"/>
        <v>247.46412575728723</v>
      </c>
      <c r="S38" s="73">
        <f t="shared" si="8"/>
        <v>41421</v>
      </c>
      <c r="T38" s="77">
        <f t="shared" ca="1" si="9"/>
        <v>0.99031653640565975</v>
      </c>
      <c r="U38" s="78">
        <f t="shared" ca="1" si="29"/>
        <v>1584126.4615398315</v>
      </c>
      <c r="V38" s="183">
        <f ca="1">VLOOKUP(Z38,'MX PV'!$C$2:$G$134,5,FALSE)</f>
        <v>1584126.4615418401</v>
      </c>
      <c r="W38" s="105">
        <f t="shared" ca="1" si="19"/>
        <v>2.0086299628019333E-6</v>
      </c>
      <c r="X38" s="178"/>
      <c r="Y38" s="142" t="str">
        <f t="shared" ca="1" si="40"/>
        <v>Pass</v>
      </c>
      <c r="Z38" s="123" t="s">
        <v>153</v>
      </c>
      <c r="AA38" s="299"/>
      <c r="AB38" s="299"/>
    </row>
    <row r="39" spans="1:28">
      <c r="A39" s="309"/>
      <c r="B39" s="79">
        <v>100000000</v>
      </c>
      <c r="C39" s="80" t="str">
        <f t="shared" si="56"/>
        <v>Linear</v>
      </c>
      <c r="D39" s="80" t="s">
        <v>25</v>
      </c>
      <c r="E39" s="80">
        <v>3</v>
      </c>
      <c r="F39" s="80" t="s">
        <v>27</v>
      </c>
      <c r="G39" s="80" t="s">
        <v>99</v>
      </c>
      <c r="H39" s="81">
        <v>0.02</v>
      </c>
      <c r="I39" s="80" t="str">
        <f t="shared" si="57"/>
        <v>EUR</v>
      </c>
      <c r="J39" s="80">
        <f t="shared" si="58"/>
        <v>2</v>
      </c>
      <c r="K39" s="82">
        <f t="shared" ca="1" si="49"/>
        <v>41423</v>
      </c>
      <c r="L39" s="82">
        <f ca="1">DATE(YEAR(K39)+3,4,DAY(K39))</f>
        <v>42489</v>
      </c>
      <c r="M39" s="82">
        <f t="shared" ca="1" si="59"/>
        <v>42489</v>
      </c>
      <c r="N39" s="83">
        <f ca="1">IF(F39="Yes",B39*((1+H39)^TimeToMaturity(L39,K39,"30 / 360")-1),-B39*((1+H39)^TimeToMaturity(L39,K39,"30 / 360")-1))</f>
        <v>-5945821.8615968227</v>
      </c>
      <c r="O39" s="82">
        <f t="shared" ca="1" si="60"/>
        <v>41333</v>
      </c>
      <c r="P39" s="84">
        <f t="shared" ca="1" si="61"/>
        <v>125.32903225806452</v>
      </c>
      <c r="Q39" s="82">
        <f t="shared" ca="1" si="13"/>
        <v>42398</v>
      </c>
      <c r="R39" s="85">
        <f t="shared" ca="1" si="7"/>
        <v>130.87707765121377</v>
      </c>
      <c r="S39" s="82">
        <f t="shared" si="8"/>
        <v>41421</v>
      </c>
      <c r="T39" s="86">
        <f t="shared" ca="1" si="9"/>
        <v>0.99281706371974854</v>
      </c>
      <c r="U39" s="87">
        <f t="shared" ca="1" si="29"/>
        <v>-1508126.8315864848</v>
      </c>
      <c r="V39" s="183">
        <f ca="1">VLOOKUP(Z39,'MX PV'!$C$2:$G$134,5,FALSE)</f>
        <v>-1508126.83158457</v>
      </c>
      <c r="W39" s="105">
        <f t="shared" ca="1" si="19"/>
        <v>1.9147992134094238E-6</v>
      </c>
      <c r="X39" s="178"/>
      <c r="Y39" s="142" t="str">
        <f t="shared" ca="1" si="40"/>
        <v>Pass</v>
      </c>
      <c r="Z39" s="123" t="s">
        <v>154</v>
      </c>
      <c r="AA39" s="299"/>
      <c r="AB39" s="299"/>
    </row>
    <row r="40" spans="1:28">
      <c r="A40" s="309"/>
      <c r="B40" s="79">
        <v>100000000</v>
      </c>
      <c r="C40" s="80" t="str">
        <f t="shared" si="56"/>
        <v>Linear</v>
      </c>
      <c r="D40" s="80" t="s">
        <v>24</v>
      </c>
      <c r="E40" s="80">
        <v>3</v>
      </c>
      <c r="F40" s="80" t="s">
        <v>27</v>
      </c>
      <c r="G40" s="80" t="s">
        <v>100</v>
      </c>
      <c r="H40" s="81">
        <v>1.7000000000000001E-2</v>
      </c>
      <c r="I40" s="80" t="str">
        <f t="shared" si="57"/>
        <v>USD</v>
      </c>
      <c r="J40" s="80">
        <f t="shared" si="58"/>
        <v>2</v>
      </c>
      <c r="K40" s="82">
        <f t="shared" ca="1" si="49"/>
        <v>41423</v>
      </c>
      <c r="L40" s="82">
        <f ca="1">DATE(YEAR(K40)+11,12,DAY(K40))</f>
        <v>45655</v>
      </c>
      <c r="M40" s="82">
        <f t="shared" ca="1" si="59"/>
        <v>45656</v>
      </c>
      <c r="N40" s="83">
        <f ca="1">IF(F40="Yes",B40*((1+H40)^TimeToMaturity(L40,K40,"30 / 360")-1),-B40*((1+H40)^TimeToMaturity(L40,K40,"30 / 360")-1))</f>
        <v>-21562896.074941307</v>
      </c>
      <c r="O40" s="82">
        <f t="shared" ca="1" si="60"/>
        <v>41333</v>
      </c>
      <c r="P40" s="84">
        <f t="shared" ca="1" si="61"/>
        <v>232.71425806451612</v>
      </c>
      <c r="Q40" s="82">
        <f t="shared" ca="1" si="13"/>
        <v>45564</v>
      </c>
      <c r="R40" s="85">
        <f t="shared" ca="1" si="7"/>
        <v>317.52240265772167</v>
      </c>
      <c r="S40" s="82">
        <f t="shared" si="8"/>
        <v>41421</v>
      </c>
      <c r="T40" s="86">
        <f t="shared" ca="1" si="9"/>
        <v>0.77403675446647813</v>
      </c>
      <c r="U40" s="87">
        <f t="shared" ca="1" si="29"/>
        <v>11517776.460770395</v>
      </c>
      <c r="V40" s="183">
        <f ca="1">VLOOKUP(Z40,'MX PV'!$C$2:$G$134,5,FALSE)</f>
        <v>11522734.2998331</v>
      </c>
      <c r="W40" s="105">
        <f t="shared" ca="1" si="19"/>
        <v>4957.839062705636</v>
      </c>
      <c r="X40" s="178"/>
      <c r="Y40" s="142" t="str">
        <f t="shared" ca="1" si="40"/>
        <v>Fail</v>
      </c>
      <c r="Z40" s="123" t="s">
        <v>155</v>
      </c>
      <c r="AA40" s="299"/>
      <c r="AB40" s="299"/>
    </row>
    <row r="41" spans="1:28">
      <c r="A41" s="309"/>
      <c r="B41" s="79">
        <v>100000000</v>
      </c>
      <c r="C41" s="80" t="str">
        <f t="shared" si="56"/>
        <v>Linear</v>
      </c>
      <c r="D41" s="80" t="s">
        <v>25</v>
      </c>
      <c r="E41" s="80">
        <v>3</v>
      </c>
      <c r="F41" s="80" t="s">
        <v>27</v>
      </c>
      <c r="G41" s="80" t="s">
        <v>100</v>
      </c>
      <c r="H41" s="81">
        <v>1.7999999999999999E-2</v>
      </c>
      <c r="I41" s="80" t="str">
        <f t="shared" si="57"/>
        <v>EUR</v>
      </c>
      <c r="J41" s="80">
        <f t="shared" si="58"/>
        <v>2</v>
      </c>
      <c r="K41" s="82">
        <f t="shared" ca="1" si="49"/>
        <v>41423</v>
      </c>
      <c r="L41" s="82">
        <f ca="1">DATE(YEAR(K41)+11,12,DAY(K41))</f>
        <v>45655</v>
      </c>
      <c r="M41" s="82">
        <f t="shared" ca="1" si="59"/>
        <v>45656</v>
      </c>
      <c r="N41" s="83">
        <f ca="1">IF(F41="Yes",B41*((1+H41)^TimeToMaturity(L41,K41,"30 / 360")-1),-B41*((1+H41)^TimeToMaturity(L41,K41,"30 / 360")-1))</f>
        <v>-22954688.867047701</v>
      </c>
      <c r="O41" s="82">
        <f t="shared" ca="1" si="60"/>
        <v>41333</v>
      </c>
      <c r="P41" s="84">
        <f t="shared" ca="1" si="61"/>
        <v>125.32903225806452</v>
      </c>
      <c r="Q41" s="82">
        <f t="shared" ca="1" si="13"/>
        <v>45564</v>
      </c>
      <c r="R41" s="85">
        <f t="shared" ca="1" si="7"/>
        <v>160.53080660156786</v>
      </c>
      <c r="S41" s="82">
        <f t="shared" si="8"/>
        <v>41421</v>
      </c>
      <c r="T41" s="86">
        <f t="shared" ca="1" si="9"/>
        <v>0.82216023267102478</v>
      </c>
      <c r="U41" s="87">
        <f t="shared" ca="1" si="29"/>
        <v>4219981.6549602663</v>
      </c>
      <c r="V41" s="183">
        <f ca="1">VLOOKUP(Z41,'MX PV'!$C$2:$G$134,5,FALSE)</f>
        <v>4236493.69861368</v>
      </c>
      <c r="W41" s="105">
        <f t="shared" ca="1" si="19"/>
        <v>16512.043653413653</v>
      </c>
      <c r="X41" s="178"/>
      <c r="Y41" s="142" t="str">
        <f t="shared" ca="1" si="40"/>
        <v>Fail</v>
      </c>
      <c r="Z41" s="123" t="s">
        <v>156</v>
      </c>
      <c r="AA41" s="299"/>
      <c r="AB41" s="299"/>
    </row>
    <row r="42" spans="1:28">
      <c r="A42" s="309"/>
      <c r="B42" s="79">
        <v>100000000</v>
      </c>
      <c r="C42" s="80" t="str">
        <f t="shared" si="56"/>
        <v>Linear</v>
      </c>
      <c r="D42" s="80" t="s">
        <v>24</v>
      </c>
      <c r="E42" s="80">
        <v>5</v>
      </c>
      <c r="F42" s="80" t="s">
        <v>27</v>
      </c>
      <c r="G42" s="96">
        <v>42036</v>
      </c>
      <c r="H42" s="81">
        <v>1.15E-2</v>
      </c>
      <c r="I42" s="80" t="str">
        <f t="shared" si="57"/>
        <v>USD</v>
      </c>
      <c r="J42" s="80">
        <f t="shared" si="58"/>
        <v>2</v>
      </c>
      <c r="K42" s="82">
        <f t="shared" ca="1" si="49"/>
        <v>41423</v>
      </c>
      <c r="L42" s="82">
        <f>DATE(2015,2,28)</f>
        <v>42063</v>
      </c>
      <c r="M42" s="82">
        <f ca="1">AddTenorToDateAsBDModFol(L42,"0D",INDIRECT(I42&amp;"Hols"))</f>
        <v>42062</v>
      </c>
      <c r="N42" s="83">
        <f ca="1">IF(F42="Yes",B42*((1+H42)^TimeToMaturity(L42,K42,"30 / 360")-1),-B42*((1+H42)^TimeToMaturity(L42,K42,"30 / 360")-1))</f>
        <v>-2017930.2574102387</v>
      </c>
      <c r="O42" s="82">
        <f t="shared" ca="1" si="60"/>
        <v>41272</v>
      </c>
      <c r="P42" s="84">
        <f t="shared" ca="1" si="61"/>
        <v>230.21429032258064</v>
      </c>
      <c r="Q42" s="82">
        <f t="shared" ca="1" si="13"/>
        <v>41910</v>
      </c>
      <c r="R42" s="85">
        <f t="shared" ref="R42:R73" ca="1" si="62">GetCPI(L42,$B$2,C42,E42,INDIRECT(D42&amp;"_LastDate"),INDIRECT(D42&amp;"_LastCPI"),INDIRECT(D42&amp;"_RefDate"),INDIRECT(D42&amp;"_RefCPI"),INDIRECT(D42&amp;"_INFDates"),INDIRECT(D42&amp;"_CPIs"),INDIRECT(D42&amp;"_Seaso"),INDIRECT(D42&amp;"_Fixings"),INDIRECT(I42&amp;"Hols"))</f>
        <v>238.3425324950955</v>
      </c>
      <c r="S42" s="82">
        <f t="shared" ref="S42:S73" si="63">$B$2</f>
        <v>41421</v>
      </c>
      <c r="T42" s="86">
        <f t="shared" ref="T42:T73" ca="1" si="64">GetDF(M42,$B$2,INDIRECT(I42&amp;"_Disc"))/GetDF(S42,$B$2,INDIRECT(I42&amp;"_Disc"))</f>
        <v>0.99693138736330755</v>
      </c>
      <c r="U42" s="87">
        <f t="shared" ca="1" si="29"/>
        <v>1508156.3162521939</v>
      </c>
      <c r="V42" s="183">
        <f ca="1">VLOOKUP(Z42,'MX PV'!$C$2:$G$134,5,FALSE)</f>
        <v>1504308.45077598</v>
      </c>
      <c r="W42" s="105">
        <f t="shared" ca="1" si="19"/>
        <v>-3847.8654762138613</v>
      </c>
      <c r="X42" s="178"/>
      <c r="Y42" s="142" t="str">
        <f t="shared" ca="1" si="40"/>
        <v>Fail</v>
      </c>
      <c r="Z42" s="123" t="s">
        <v>157</v>
      </c>
      <c r="AA42" s="299"/>
      <c r="AB42" s="299"/>
    </row>
    <row r="43" spans="1:28">
      <c r="A43" s="309"/>
      <c r="B43" s="79">
        <v>100000000</v>
      </c>
      <c r="C43" s="80" t="str">
        <f t="shared" si="56"/>
        <v>Linear</v>
      </c>
      <c r="D43" s="80" t="s">
        <v>25</v>
      </c>
      <c r="E43" s="80">
        <v>6</v>
      </c>
      <c r="F43" s="80" t="s">
        <v>27</v>
      </c>
      <c r="G43" s="96">
        <v>42036</v>
      </c>
      <c r="H43" s="81">
        <v>1.12E-2</v>
      </c>
      <c r="I43" s="80" t="str">
        <f t="shared" si="57"/>
        <v>EUR</v>
      </c>
      <c r="J43" s="80">
        <f t="shared" si="58"/>
        <v>2</v>
      </c>
      <c r="K43" s="82">
        <f t="shared" ca="1" si="49"/>
        <v>41423</v>
      </c>
      <c r="L43" s="82">
        <f>DATE(2015,2,28)</f>
        <v>42063</v>
      </c>
      <c r="M43" s="82">
        <f ca="1">AddTenorToDateAsBDModFol(L43,"0D",INDIRECT(I43&amp;"Hols"))</f>
        <v>42062</v>
      </c>
      <c r="N43" s="83">
        <f ca="1">IF(F43="Yes",B43*((1+H43)^TimeToMaturity(L43,K43,"30 / 360")-1),-B43*((1+H43)^TimeToMaturity(L43,K43,"30 / 360")-1))</f>
        <v>-1965069.6811878143</v>
      </c>
      <c r="O43" s="82">
        <f t="shared" ca="1" si="60"/>
        <v>41242</v>
      </c>
      <c r="P43" s="84">
        <f t="shared" ca="1" si="61"/>
        <v>124.78838709677419</v>
      </c>
      <c r="Q43" s="82">
        <f t="shared" ca="1" si="13"/>
        <v>41879</v>
      </c>
      <c r="R43" s="85">
        <f t="shared" ca="1" si="62"/>
        <v>127.1958790168448</v>
      </c>
      <c r="S43" s="82">
        <f t="shared" si="63"/>
        <v>41421</v>
      </c>
      <c r="T43" s="86">
        <f t="shared" ca="1" si="64"/>
        <v>0.99817159338630268</v>
      </c>
      <c r="U43" s="87">
        <f t="shared" ca="1" si="29"/>
        <v>-35744.619939864475</v>
      </c>
      <c r="V43" s="183">
        <f ca="1">VLOOKUP(Z43,'MX PV'!$C$2:$G$134,5,FALSE)</f>
        <v>-19828.756490621501</v>
      </c>
      <c r="W43" s="105">
        <f t="shared" ca="1" si="19"/>
        <v>15915.863449242974</v>
      </c>
      <c r="X43" s="178"/>
      <c r="Y43" s="142" t="str">
        <f t="shared" ca="1" si="40"/>
        <v>Fail</v>
      </c>
      <c r="Z43" s="123" t="s">
        <v>158</v>
      </c>
      <c r="AA43" s="299"/>
      <c r="AB43" s="299"/>
    </row>
    <row r="44" spans="1:28">
      <c r="A44" s="309"/>
      <c r="B44" s="79">
        <v>100000000</v>
      </c>
      <c r="C44" s="80" t="str">
        <f t="shared" si="56"/>
        <v>Linear</v>
      </c>
      <c r="D44" s="80" t="s">
        <v>24</v>
      </c>
      <c r="E44" s="80">
        <v>5</v>
      </c>
      <c r="F44" s="80" t="s">
        <v>27</v>
      </c>
      <c r="G44" s="96">
        <v>42401</v>
      </c>
      <c r="H44" s="81">
        <v>0.01</v>
      </c>
      <c r="I44" s="80" t="str">
        <f t="shared" si="57"/>
        <v>USD</v>
      </c>
      <c r="J44" s="80">
        <f t="shared" si="58"/>
        <v>2</v>
      </c>
      <c r="K44" s="82">
        <f t="shared" ca="1" si="49"/>
        <v>41423</v>
      </c>
      <c r="L44" s="82">
        <f ca="1">DATE(2016,2,DAY(K44))</f>
        <v>42429</v>
      </c>
      <c r="M44" s="82">
        <f t="shared" ca="1" si="59"/>
        <v>42429</v>
      </c>
      <c r="N44" s="83">
        <f ca="1">IF(F44="Yes",B44*((1+H44)^TimeToMaturity(L44,K44,"30 / 360")-1),-B44*((1+H44)^TimeToMaturity(L44,K44,"30 / 360")-1))</f>
        <v>-2774122.6187459887</v>
      </c>
      <c r="O44" s="82">
        <f t="shared" ca="1" si="60"/>
        <v>41272</v>
      </c>
      <c r="P44" s="84">
        <f t="shared" ca="1" si="61"/>
        <v>230.21429032258064</v>
      </c>
      <c r="Q44" s="82">
        <f t="shared" ca="1" si="13"/>
        <v>42276</v>
      </c>
      <c r="R44" s="85">
        <f t="shared" ca="1" si="62"/>
        <v>244.25956416750165</v>
      </c>
      <c r="S44" s="82">
        <f t="shared" si="63"/>
        <v>41421</v>
      </c>
      <c r="T44" s="86">
        <f t="shared" ca="1" si="64"/>
        <v>0.99152745698306388</v>
      </c>
      <c r="U44" s="87">
        <f t="shared" ca="1" si="29"/>
        <v>3298647.1964688073</v>
      </c>
      <c r="V44" s="183">
        <f ca="1">VLOOKUP(Z44,'MX PV'!$C$2:$G$134,5,FALSE)</f>
        <v>3298647.1964702099</v>
      </c>
      <c r="W44" s="105">
        <f t="shared" ca="1" si="19"/>
        <v>1.4025717973709106E-6</v>
      </c>
      <c r="X44" s="178"/>
      <c r="Y44" s="142" t="str">
        <f t="shared" ca="1" si="40"/>
        <v>Pass</v>
      </c>
      <c r="Z44" s="123" t="s">
        <v>159</v>
      </c>
      <c r="AA44" s="299"/>
      <c r="AB44" s="299"/>
    </row>
    <row r="45" spans="1:28">
      <c r="A45" s="310"/>
      <c r="B45" s="88">
        <v>100000000</v>
      </c>
      <c r="C45" s="172" t="str">
        <f t="shared" si="56"/>
        <v>Linear</v>
      </c>
      <c r="D45" s="172" t="s">
        <v>25</v>
      </c>
      <c r="E45" s="172">
        <v>6</v>
      </c>
      <c r="F45" s="172" t="s">
        <v>27</v>
      </c>
      <c r="G45" s="97">
        <v>42401</v>
      </c>
      <c r="H45" s="89">
        <v>1.2E-2</v>
      </c>
      <c r="I45" s="172" t="str">
        <f t="shared" si="57"/>
        <v>EUR</v>
      </c>
      <c r="J45" s="172">
        <f t="shared" si="58"/>
        <v>2</v>
      </c>
      <c r="K45" s="90">
        <f t="shared" ca="1" si="49"/>
        <v>41423</v>
      </c>
      <c r="L45" s="90">
        <f ca="1">DATE(2016,2,DAY(K45))</f>
        <v>42429</v>
      </c>
      <c r="M45" s="90">
        <f t="shared" ca="1" si="59"/>
        <v>42429</v>
      </c>
      <c r="N45" s="91">
        <f ca="1">IF(F45="Yes",B45*((1+H45)^TimeToMaturity(L45,K45,"30 / 360")-1),-B45*((1+H45)^TimeToMaturity(L45,K45,"30 / 360")-1))</f>
        <v>-3334753.872270335</v>
      </c>
      <c r="O45" s="90">
        <f t="shared" ca="1" si="60"/>
        <v>41242</v>
      </c>
      <c r="P45" s="92">
        <f t="shared" ca="1" si="61"/>
        <v>124.78838709677419</v>
      </c>
      <c r="Q45" s="90">
        <f t="shared" ca="1" si="13"/>
        <v>42245</v>
      </c>
      <c r="R45" s="93">
        <f t="shared" ca="1" si="62"/>
        <v>129.21517080992109</v>
      </c>
      <c r="S45" s="90">
        <f t="shared" si="63"/>
        <v>41421</v>
      </c>
      <c r="T45" s="94">
        <f t="shared" ca="1" si="64"/>
        <v>0.99379643407616003</v>
      </c>
      <c r="U45" s="95">
        <f t="shared" ca="1" si="29"/>
        <v>211359.19259634294</v>
      </c>
      <c r="V45" s="183">
        <f ca="1">VLOOKUP(Z45,'MX PV'!$C$2:$G$134,5,FALSE)</f>
        <v>211359.19259782601</v>
      </c>
      <c r="W45" s="105">
        <f t="shared" ca="1" si="19"/>
        <v>1.4830729924142361E-6</v>
      </c>
      <c r="X45" s="178"/>
      <c r="Y45" s="142" t="str">
        <f t="shared" ca="1" si="40"/>
        <v>Pass</v>
      </c>
      <c r="Z45" s="123" t="s">
        <v>160</v>
      </c>
      <c r="AA45" s="299"/>
      <c r="AB45" s="299"/>
    </row>
    <row r="46" spans="1:28" ht="15" customHeight="1">
      <c r="A46" s="308" t="s">
        <v>102</v>
      </c>
      <c r="B46" s="70">
        <v>100000000</v>
      </c>
      <c r="C46" s="71" t="str">
        <f t="shared" ref="C46" si="65">IF(OR(D46="FR",D46="US"),"Linear","Piecewise")</f>
        <v>Linear</v>
      </c>
      <c r="D46" s="71" t="s">
        <v>25</v>
      </c>
      <c r="E46" s="71">
        <v>3</v>
      </c>
      <c r="F46" s="71" t="s">
        <v>26</v>
      </c>
      <c r="G46" s="71" t="s">
        <v>91</v>
      </c>
      <c r="H46" s="72">
        <v>0.01</v>
      </c>
      <c r="I46" s="71" t="str">
        <f t="shared" ref="I46" si="66">IF(OR(D46="FR",D46="EUR"),"EUR",IF(D46="GB","GBP","USD"))</f>
        <v>EUR</v>
      </c>
      <c r="J46" s="71">
        <f t="shared" ref="J46" si="67">IF(I46="GBP",0,2)</f>
        <v>2</v>
      </c>
      <c r="K46" s="73">
        <f t="shared" ca="1" si="49"/>
        <v>41423</v>
      </c>
      <c r="L46" s="73">
        <f ca="1">AddTenorToDate(K46,GetNumsForString(G46),GetCharsForString(G46))</f>
        <v>41788</v>
      </c>
      <c r="M46" s="73">
        <f t="shared" ref="M46" ca="1" si="68">AddTenorToDateAsBDModFol(L46,"0D",INDIRECT(I46&amp;"Hols"))</f>
        <v>41788</v>
      </c>
      <c r="N46" s="74">
        <f ca="1">IF(F46="Yes",B46*((1+H46)^TimeToMaturity(L46,K46,"30 / 360")-1),-B46*((1+H46)^TimeToMaturity(L46,K46,"30 / 360")-1))</f>
        <v>1000000.0000000009</v>
      </c>
      <c r="O46" s="73">
        <f t="shared" ref="O46" ca="1" si="69">GetCPIDate(K46,E46,C46)</f>
        <v>41333</v>
      </c>
      <c r="P46" s="75">
        <f t="shared" ref="P46" ca="1" si="70">GetReferenceCPI(K46,E46,C46,INDIRECT(D46&amp;"_Fixings"),FALSE)</f>
        <v>125.32903225806452</v>
      </c>
      <c r="Q46" s="73">
        <f t="shared" ca="1" si="13"/>
        <v>41698</v>
      </c>
      <c r="R46" s="76">
        <f t="shared" ca="1" si="62"/>
        <v>127.05731961290313</v>
      </c>
      <c r="S46" s="73">
        <f t="shared" si="63"/>
        <v>41421</v>
      </c>
      <c r="T46" s="77">
        <f t="shared" ca="1" si="64"/>
        <v>0.9993667423704885</v>
      </c>
      <c r="U46" s="78">
        <f t="shared" ca="1" si="29"/>
        <v>-378759.99535834463</v>
      </c>
      <c r="V46" s="101">
        <f ca="1">VLOOKUP(Z46,'MX PV'!$C$2:$G$134,5,FALSE)</f>
        <v>-378759.99535839498</v>
      </c>
      <c r="W46" s="114">
        <f t="shared" ca="1" si="19"/>
        <v>-5.0349626690149307E-8</v>
      </c>
      <c r="X46" s="178"/>
      <c r="Y46" s="142" t="str">
        <f t="shared" ca="1" si="40"/>
        <v>Pass</v>
      </c>
      <c r="Z46" s="123" t="s">
        <v>161</v>
      </c>
      <c r="AA46" s="299"/>
      <c r="AB46" s="299"/>
    </row>
    <row r="47" spans="1:28">
      <c r="A47" s="309"/>
      <c r="B47" s="79">
        <v>100000000</v>
      </c>
      <c r="C47" s="80" t="str">
        <f t="shared" ref="C47:C49" si="71">IF(OR(D47="FR",D47="US"),"Linear","Piecewise")</f>
        <v>Linear</v>
      </c>
      <c r="D47" s="80" t="s">
        <v>25</v>
      </c>
      <c r="E47" s="80">
        <v>4</v>
      </c>
      <c r="F47" s="80" t="s">
        <v>26</v>
      </c>
      <c r="G47" s="80" t="s">
        <v>91</v>
      </c>
      <c r="H47" s="81">
        <v>0.01</v>
      </c>
      <c r="I47" s="80" t="str">
        <f t="shared" ref="I47:I49" si="72">IF(OR(D47="FR",D47="EUR"),"EUR",IF(D47="GB","GBP","USD"))</f>
        <v>EUR</v>
      </c>
      <c r="J47" s="80">
        <f t="shared" ref="J47:J49" si="73">IF(I47="GBP",0,2)</f>
        <v>2</v>
      </c>
      <c r="K47" s="82">
        <f t="shared" ca="1" si="49"/>
        <v>41423</v>
      </c>
      <c r="L47" s="82">
        <f ca="1">AddTenorToDate(K47,GetNumsForString(G47),GetCharsForString(G47))</f>
        <v>41788</v>
      </c>
      <c r="M47" s="82">
        <f t="shared" ref="M47:M49" ca="1" si="74">AddTenorToDateAsBDModFol(L47,"0D",INDIRECT(I47&amp;"Hols"))</f>
        <v>41788</v>
      </c>
      <c r="N47" s="83">
        <f ca="1">IF(F47="Yes",B47*((1+H47)^TimeToMaturity(L47,K47,"30 / 360")-1),-B47*((1+H47)^TimeToMaturity(L47,K47,"30 / 360")-1))</f>
        <v>1000000.0000000009</v>
      </c>
      <c r="O47" s="82">
        <f t="shared" ref="O47:O49" ca="1" si="75">GetCPIDate(K47,E47,C47)</f>
        <v>41303</v>
      </c>
      <c r="P47" s="84">
        <f t="shared" ref="P47:P49" ca="1" si="76">GetReferenceCPI(K47,E47,C47,INDIRECT(D47&amp;"_Fixings"),FALSE)</f>
        <v>124.44903225806452</v>
      </c>
      <c r="Q47" s="82">
        <f t="shared" ca="1" si="13"/>
        <v>41668</v>
      </c>
      <c r="R47" s="85">
        <f t="shared" ca="1" si="62"/>
        <v>126.81104183749321</v>
      </c>
      <c r="S47" s="82">
        <f t="shared" si="63"/>
        <v>41421</v>
      </c>
      <c r="T47" s="86">
        <f t="shared" ca="1" si="64"/>
        <v>0.9993667423704885</v>
      </c>
      <c r="U47" s="87">
        <f t="shared" ca="1" si="29"/>
        <v>-897404.79213741643</v>
      </c>
      <c r="V47" s="102">
        <f ca="1">VLOOKUP(Z47,'MX PV'!$C$2:$G$134,5,FALSE)</f>
        <v>-897404.79213747801</v>
      </c>
      <c r="W47" s="105">
        <f t="shared" ca="1" si="19"/>
        <v>-6.1583705246448517E-8</v>
      </c>
      <c r="X47" s="178"/>
      <c r="Y47" s="142" t="str">
        <f t="shared" ca="1" si="40"/>
        <v>Pass</v>
      </c>
      <c r="Z47" s="123" t="s">
        <v>162</v>
      </c>
      <c r="AA47" s="299"/>
      <c r="AB47" s="299"/>
    </row>
    <row r="48" spans="1:28">
      <c r="A48" s="309"/>
      <c r="B48" s="79">
        <v>100000000</v>
      </c>
      <c r="C48" s="80" t="str">
        <f t="shared" si="71"/>
        <v>Linear</v>
      </c>
      <c r="D48" s="80" t="s">
        <v>25</v>
      </c>
      <c r="E48" s="80">
        <v>5</v>
      </c>
      <c r="F48" s="80" t="s">
        <v>26</v>
      </c>
      <c r="G48" s="80" t="s">
        <v>91</v>
      </c>
      <c r="H48" s="81">
        <v>0.01</v>
      </c>
      <c r="I48" s="80" t="str">
        <f t="shared" si="72"/>
        <v>EUR</v>
      </c>
      <c r="J48" s="80">
        <f t="shared" si="73"/>
        <v>2</v>
      </c>
      <c r="K48" s="82">
        <f t="shared" ca="1" si="49"/>
        <v>41423</v>
      </c>
      <c r="L48" s="82">
        <f ca="1">AddTenorToDate(K48,GetNumsForString(G48),GetCharsForString(G48))</f>
        <v>41788</v>
      </c>
      <c r="M48" s="82">
        <f t="shared" ca="1" si="74"/>
        <v>41788</v>
      </c>
      <c r="N48" s="83">
        <f ca="1">IF(F48="Yes",B48*((1+H48)^TimeToMaturity(L48,K48,"30 / 360")-1),-B48*((1+H48)^TimeToMaturity(L48,K48,"30 / 360")-1))</f>
        <v>1000000.0000000009</v>
      </c>
      <c r="O48" s="82">
        <f t="shared" ca="1" si="75"/>
        <v>41272</v>
      </c>
      <c r="P48" s="84">
        <f t="shared" ca="1" si="76"/>
        <v>124.22483870967741</v>
      </c>
      <c r="Q48" s="82">
        <f t="shared" ca="1" si="13"/>
        <v>41637</v>
      </c>
      <c r="R48" s="85">
        <f t="shared" ca="1" si="62"/>
        <v>125.86269067560289</v>
      </c>
      <c r="S48" s="82">
        <f t="shared" si="63"/>
        <v>41421</v>
      </c>
      <c r="T48" s="86">
        <f t="shared" ca="1" si="64"/>
        <v>0.9993667423704885</v>
      </c>
      <c r="U48" s="87">
        <f t="shared" ca="1" si="29"/>
        <v>-318256.04601355444</v>
      </c>
      <c r="V48" s="102">
        <f ca="1">VLOOKUP(Z48,'MX PV'!$C$2:$G$134,5,FALSE)</f>
        <v>-318256.04601357703</v>
      </c>
      <c r="W48" s="105">
        <f t="shared" ca="1" si="19"/>
        <v>-2.2584572434425354E-8</v>
      </c>
      <c r="X48" s="178"/>
      <c r="Y48" s="142" t="str">
        <f t="shared" ca="1" si="40"/>
        <v>Pass</v>
      </c>
      <c r="Z48" s="123" t="s">
        <v>163</v>
      </c>
      <c r="AA48" s="299"/>
      <c r="AB48" s="299"/>
    </row>
    <row r="49" spans="1:28">
      <c r="A49" s="309"/>
      <c r="B49" s="79">
        <v>100000000</v>
      </c>
      <c r="C49" s="80" t="str">
        <f t="shared" si="71"/>
        <v>Linear</v>
      </c>
      <c r="D49" s="80" t="s">
        <v>25</v>
      </c>
      <c r="E49" s="80">
        <v>6</v>
      </c>
      <c r="F49" s="80" t="s">
        <v>26</v>
      </c>
      <c r="G49" s="80" t="s">
        <v>91</v>
      </c>
      <c r="H49" s="81">
        <v>0.01</v>
      </c>
      <c r="I49" s="80" t="str">
        <f t="shared" si="72"/>
        <v>EUR</v>
      </c>
      <c r="J49" s="80">
        <f t="shared" si="73"/>
        <v>2</v>
      </c>
      <c r="K49" s="82">
        <f t="shared" ca="1" si="49"/>
        <v>41423</v>
      </c>
      <c r="L49" s="82">
        <f ca="1">AddTenorToDate(K49,GetNumsForString(G49),GetCharsForString(G49))</f>
        <v>41788</v>
      </c>
      <c r="M49" s="82">
        <f t="shared" ca="1" si="74"/>
        <v>41788</v>
      </c>
      <c r="N49" s="83">
        <f ca="1">IF(F49="Yes",B49*((1+H49)^TimeToMaturity(L49,K49,"30 / 360")-1),-B49*((1+H49)^TimeToMaturity(L49,K49,"30 / 360")-1))</f>
        <v>1000000.0000000009</v>
      </c>
      <c r="O49" s="82">
        <f t="shared" ca="1" si="75"/>
        <v>41242</v>
      </c>
      <c r="P49" s="84">
        <f t="shared" ca="1" si="76"/>
        <v>124.78838709677419</v>
      </c>
      <c r="Q49" s="82">
        <f t="shared" ca="1" si="13"/>
        <v>41607</v>
      </c>
      <c r="R49" s="85">
        <f t="shared" ca="1" si="62"/>
        <v>126.38263380652563</v>
      </c>
      <c r="S49" s="82">
        <f t="shared" si="63"/>
        <v>41421</v>
      </c>
      <c r="T49" s="86">
        <f t="shared" ca="1" si="64"/>
        <v>0.9993667423704885</v>
      </c>
      <c r="U49" s="87">
        <f t="shared" ca="1" si="29"/>
        <v>-277384.38642133924</v>
      </c>
      <c r="V49" s="102">
        <f ca="1">VLOOKUP(Z49,'MX PV'!$C$2:$G$134,5,FALSE)</f>
        <v>-277384.38642134401</v>
      </c>
      <c r="W49" s="105">
        <f t="shared" ca="1" si="19"/>
        <v>-4.7730281949043274E-9</v>
      </c>
      <c r="X49" s="178"/>
      <c r="Y49" s="142" t="str">
        <f t="shared" ca="1" si="40"/>
        <v>Pass</v>
      </c>
      <c r="Z49" s="123" t="s">
        <v>164</v>
      </c>
      <c r="AA49" s="299"/>
      <c r="AB49" s="299"/>
    </row>
    <row r="50" spans="1:28">
      <c r="A50" s="309"/>
      <c r="B50" s="79">
        <v>100000000</v>
      </c>
      <c r="C50" s="80" t="str">
        <f t="shared" ref="C50:C54" si="77">IF(OR(D50="FR",D50="US"),"Linear","Piecewise")</f>
        <v>Linear</v>
      </c>
      <c r="D50" s="80" t="s">
        <v>25</v>
      </c>
      <c r="E50" s="80">
        <v>7</v>
      </c>
      <c r="F50" s="80" t="s">
        <v>26</v>
      </c>
      <c r="G50" s="80" t="s">
        <v>91</v>
      </c>
      <c r="H50" s="81">
        <v>0.01</v>
      </c>
      <c r="I50" s="80" t="str">
        <f t="shared" ref="I50:I54" si="78">IF(OR(D50="FR",D50="EUR"),"EUR",IF(D50="GB","GBP","USD"))</f>
        <v>EUR</v>
      </c>
      <c r="J50" s="80">
        <f t="shared" ref="J50:J54" si="79">IF(I50="GBP",0,2)</f>
        <v>2</v>
      </c>
      <c r="K50" s="82">
        <f t="shared" ca="1" si="49"/>
        <v>41423</v>
      </c>
      <c r="L50" s="82">
        <f ca="1">AddTenorToDate(K50,GetNumsForString(G50),GetCharsForString(G50))</f>
        <v>41788</v>
      </c>
      <c r="M50" s="82">
        <f t="shared" ref="M50:M54" ca="1" si="80">AddTenorToDateAsBDModFol(L50,"0D",INDIRECT(I50&amp;"Hols"))</f>
        <v>41788</v>
      </c>
      <c r="N50" s="83">
        <f ca="1">IF(F50="Yes",B50*((1+H50)^TimeToMaturity(L50,K50,"30 / 360")-1),-B50*((1+H50)^TimeToMaturity(L50,K50,"30 / 360")-1))</f>
        <v>1000000.0000000009</v>
      </c>
      <c r="O50" s="82">
        <f t="shared" ref="O50:O54" ca="1" si="81">GetCPIDate(K50,E50,C50)</f>
        <v>41211</v>
      </c>
      <c r="P50" s="84">
        <f t="shared" ref="P50:P54" ca="1" si="82">GetReferenceCPI(K50,E50,C50,INDIRECT(D50&amp;"_Fixings"),FALSE)</f>
        <v>124.42032258064516</v>
      </c>
      <c r="Q50" s="82">
        <f t="shared" ca="1" si="13"/>
        <v>41576</v>
      </c>
      <c r="R50" s="85">
        <f t="shared" ca="1" si="62"/>
        <v>125.96625176300108</v>
      </c>
      <c r="S50" s="82">
        <f t="shared" si="63"/>
        <v>41421</v>
      </c>
      <c r="T50" s="86">
        <f t="shared" ca="1" si="64"/>
        <v>0.9993667423704885</v>
      </c>
      <c r="U50" s="87">
        <f t="shared" ref="U50:U78" ca="1" si="83">IF(F50="Yes",(-(R50/P50-1)*B50+N50)*T50,((R50/P50-1)*B50+N50)*T50)</f>
        <v>-242351.79593752872</v>
      </c>
      <c r="V50" s="102">
        <f ca="1">VLOOKUP(Z50,'MX PV'!$C$2:$G$134,5,FALSE)</f>
        <v>-242351.79593755299</v>
      </c>
      <c r="W50" s="105">
        <f t="shared" ca="1" si="19"/>
        <v>-2.4272594600915909E-8</v>
      </c>
      <c r="X50" s="178"/>
      <c r="Y50" s="142" t="str">
        <f t="shared" ca="1" si="40"/>
        <v>Pass</v>
      </c>
      <c r="Z50" s="123" t="s">
        <v>165</v>
      </c>
      <c r="AA50" s="299"/>
      <c r="AB50" s="299"/>
    </row>
    <row r="51" spans="1:28">
      <c r="A51" s="309"/>
      <c r="B51" s="79">
        <v>100000000</v>
      </c>
      <c r="C51" s="80" t="str">
        <f t="shared" si="77"/>
        <v>Linear</v>
      </c>
      <c r="D51" s="80" t="s">
        <v>24</v>
      </c>
      <c r="E51" s="80">
        <v>3</v>
      </c>
      <c r="F51" s="80" t="s">
        <v>26</v>
      </c>
      <c r="G51" s="80" t="s">
        <v>91</v>
      </c>
      <c r="H51" s="81">
        <v>1.2E-2</v>
      </c>
      <c r="I51" s="80" t="str">
        <f t="shared" si="78"/>
        <v>USD</v>
      </c>
      <c r="J51" s="80">
        <f t="shared" si="79"/>
        <v>2</v>
      </c>
      <c r="K51" s="82">
        <f t="shared" ca="1" si="49"/>
        <v>41423</v>
      </c>
      <c r="L51" s="82">
        <f ca="1">AddTenorToDate(K51,GetNumsForString(G51),GetCharsForString(G51))</f>
        <v>41788</v>
      </c>
      <c r="M51" s="82">
        <f t="shared" ca="1" si="80"/>
        <v>41788</v>
      </c>
      <c r="N51" s="83">
        <f ca="1">IF(F51="Yes",B51*((1+H51)^TimeToMaturity(L51,K51,"30 / 360")-1),-B51*((1+H51)^TimeToMaturity(L51,K51,"30 / 360")-1))</f>
        <v>1200000.0000000012</v>
      </c>
      <c r="O51" s="82">
        <f t="shared" ca="1" si="81"/>
        <v>41333</v>
      </c>
      <c r="P51" s="84">
        <f t="shared" ca="1" si="82"/>
        <v>232.71425806451612</v>
      </c>
      <c r="Q51" s="82">
        <f t="shared" ca="1" si="13"/>
        <v>41698</v>
      </c>
      <c r="R51" s="85">
        <f t="shared" ca="1" si="62"/>
        <v>236.60524045935489</v>
      </c>
      <c r="S51" s="82">
        <f t="shared" si="63"/>
        <v>41421</v>
      </c>
      <c r="T51" s="86">
        <f t="shared" ca="1" si="64"/>
        <v>0.99867872627566534</v>
      </c>
      <c r="U51" s="87">
        <f t="shared" ca="1" si="83"/>
        <v>-471376.35880214197</v>
      </c>
      <c r="V51" s="102">
        <f ca="1">VLOOKUP(Z51,'MX PV'!$C$2:$G$134,5,FALSE)</f>
        <v>-471376.358802117</v>
      </c>
      <c r="W51" s="105">
        <f t="shared" ca="1" si="19"/>
        <v>2.4971086531877518E-8</v>
      </c>
      <c r="X51" s="178"/>
      <c r="Y51" s="142" t="str">
        <f t="shared" ca="1" si="40"/>
        <v>Pass</v>
      </c>
      <c r="Z51" s="123" t="s">
        <v>166</v>
      </c>
      <c r="AA51" s="299"/>
      <c r="AB51" s="299"/>
    </row>
    <row r="52" spans="1:28">
      <c r="A52" s="309"/>
      <c r="B52" s="79">
        <v>100000000</v>
      </c>
      <c r="C52" s="80" t="str">
        <f t="shared" si="77"/>
        <v>Linear</v>
      </c>
      <c r="D52" s="80" t="s">
        <v>24</v>
      </c>
      <c r="E52" s="80">
        <v>4</v>
      </c>
      <c r="F52" s="80" t="s">
        <v>26</v>
      </c>
      <c r="G52" s="80" t="s">
        <v>91</v>
      </c>
      <c r="H52" s="81">
        <v>1.2E-2</v>
      </c>
      <c r="I52" s="80" t="str">
        <f t="shared" si="78"/>
        <v>USD</v>
      </c>
      <c r="J52" s="80">
        <f t="shared" si="79"/>
        <v>2</v>
      </c>
      <c r="K52" s="82">
        <f t="shared" ca="1" si="49"/>
        <v>41423</v>
      </c>
      <c r="L52" s="82">
        <f ca="1">AddTenorToDate(K52,GetNumsForString(G52),GetCharsForString(G52))</f>
        <v>41788</v>
      </c>
      <c r="M52" s="82">
        <f t="shared" ca="1" si="80"/>
        <v>41788</v>
      </c>
      <c r="N52" s="83">
        <f ca="1">IF(F52="Yes",B52*((1+H52)^TimeToMaturity(L52,K52,"30 / 360")-1),-B52*((1+H52)^TimeToMaturity(L52,K52,"30 / 360")-1))</f>
        <v>1200000.0000000012</v>
      </c>
      <c r="O52" s="82">
        <f t="shared" ca="1" si="81"/>
        <v>41303</v>
      </c>
      <c r="P52" s="84">
        <f t="shared" ca="1" si="82"/>
        <v>231.98348387096775</v>
      </c>
      <c r="Q52" s="82">
        <f t="shared" ca="1" si="13"/>
        <v>41668</v>
      </c>
      <c r="R52" s="85">
        <f t="shared" ca="1" si="62"/>
        <v>235.89376330453248</v>
      </c>
      <c r="S52" s="82">
        <f t="shared" si="63"/>
        <v>41421</v>
      </c>
      <c r="T52" s="86">
        <f t="shared" ca="1" si="64"/>
        <v>0.99867872627566534</v>
      </c>
      <c r="U52" s="87">
        <f t="shared" ca="1" si="83"/>
        <v>-484943.67920136213</v>
      </c>
      <c r="V52" s="102">
        <f ca="1">VLOOKUP(Z52,'MX PV'!$C$2:$G$134,5,FALSE)</f>
        <v>-484943.67920132598</v>
      </c>
      <c r="W52" s="105">
        <f t="shared" ca="1" si="19"/>
        <v>3.614695742726326E-8</v>
      </c>
      <c r="X52" s="178"/>
      <c r="Y52" s="142" t="str">
        <f t="shared" ca="1" si="40"/>
        <v>Pass</v>
      </c>
      <c r="Z52" s="123" t="s">
        <v>167</v>
      </c>
      <c r="AA52" s="299"/>
      <c r="AB52" s="299"/>
    </row>
    <row r="53" spans="1:28">
      <c r="A53" s="309"/>
      <c r="B53" s="79">
        <v>100000000</v>
      </c>
      <c r="C53" s="80" t="str">
        <f t="shared" si="77"/>
        <v>Linear</v>
      </c>
      <c r="D53" s="80" t="s">
        <v>24</v>
      </c>
      <c r="E53" s="80">
        <v>5</v>
      </c>
      <c r="F53" s="80" t="s">
        <v>26</v>
      </c>
      <c r="G53" s="80" t="s">
        <v>91</v>
      </c>
      <c r="H53" s="81">
        <v>1.2E-2</v>
      </c>
      <c r="I53" s="80" t="str">
        <f t="shared" si="78"/>
        <v>USD</v>
      </c>
      <c r="J53" s="80">
        <f t="shared" si="79"/>
        <v>2</v>
      </c>
      <c r="K53" s="82">
        <f t="shared" ca="1" si="49"/>
        <v>41423</v>
      </c>
      <c r="L53" s="82">
        <f ca="1">AddTenorToDate(K53,GetNumsForString(G53),GetCharsForString(G53))</f>
        <v>41788</v>
      </c>
      <c r="M53" s="82">
        <f t="shared" ca="1" si="80"/>
        <v>41788</v>
      </c>
      <c r="N53" s="83">
        <f ca="1">IF(F53="Yes",B53*((1+H53)^TimeToMaturity(L53,K53,"30 / 360")-1),-B53*((1+H53)^TimeToMaturity(L53,K53,"30 / 360")-1))</f>
        <v>1200000.0000000012</v>
      </c>
      <c r="O53" s="82">
        <f t="shared" ca="1" si="81"/>
        <v>41272</v>
      </c>
      <c r="P53" s="84">
        <f t="shared" ca="1" si="82"/>
        <v>230.21429032258064</v>
      </c>
      <c r="Q53" s="82">
        <f t="shared" ca="1" si="13"/>
        <v>41637</v>
      </c>
      <c r="R53" s="85">
        <f t="shared" ca="1" si="62"/>
        <v>235.5956097246185</v>
      </c>
      <c r="S53" s="82">
        <f t="shared" si="63"/>
        <v>41421</v>
      </c>
      <c r="T53" s="86">
        <f t="shared" ca="1" si="64"/>
        <v>0.99867872627566534</v>
      </c>
      <c r="U53" s="87">
        <f t="shared" ca="1" si="83"/>
        <v>-1136023.2380393872</v>
      </c>
      <c r="V53" s="102">
        <f ca="1">VLOOKUP(Z53,'MX PV'!$C$2:$G$134,5,FALSE)</f>
        <v>-1136023.2380393699</v>
      </c>
      <c r="W53" s="105">
        <f t="shared" ca="1" si="19"/>
        <v>1.7229467630386353E-8</v>
      </c>
      <c r="X53" s="178"/>
      <c r="Y53" s="142" t="str">
        <f t="shared" ca="1" si="40"/>
        <v>Pass</v>
      </c>
      <c r="Z53" s="123" t="s">
        <v>168</v>
      </c>
      <c r="AA53" s="299"/>
      <c r="AB53" s="299"/>
    </row>
    <row r="54" spans="1:28">
      <c r="A54" s="309"/>
      <c r="B54" s="79">
        <v>100000000</v>
      </c>
      <c r="C54" s="80" t="str">
        <f t="shared" si="77"/>
        <v>Linear</v>
      </c>
      <c r="D54" s="80" t="s">
        <v>24</v>
      </c>
      <c r="E54" s="80">
        <v>6</v>
      </c>
      <c r="F54" s="80" t="s">
        <v>26</v>
      </c>
      <c r="G54" s="80" t="s">
        <v>91</v>
      </c>
      <c r="H54" s="81">
        <v>1.2E-2</v>
      </c>
      <c r="I54" s="80" t="str">
        <f t="shared" si="78"/>
        <v>USD</v>
      </c>
      <c r="J54" s="80">
        <f t="shared" si="79"/>
        <v>2</v>
      </c>
      <c r="K54" s="82">
        <f t="shared" ca="1" si="49"/>
        <v>41423</v>
      </c>
      <c r="L54" s="82">
        <f ca="1">AddTenorToDate(K54,GetNumsForString(G54),GetCharsForString(G54))</f>
        <v>41788</v>
      </c>
      <c r="M54" s="82">
        <f t="shared" ca="1" si="80"/>
        <v>41788</v>
      </c>
      <c r="N54" s="83">
        <f ca="1">IF(F54="Yes",B54*((1+H54)^TimeToMaturity(L54,K54,"30 / 360")-1),-B54*((1+H54)^TimeToMaturity(L54,K54,"30 / 360")-1))</f>
        <v>1200000.0000000012</v>
      </c>
      <c r="O54" s="82">
        <f t="shared" ca="1" si="81"/>
        <v>41242</v>
      </c>
      <c r="P54" s="84">
        <f t="shared" ca="1" si="82"/>
        <v>229.661</v>
      </c>
      <c r="Q54" s="82">
        <f t="shared" ca="1" si="13"/>
        <v>41607</v>
      </c>
      <c r="R54" s="85">
        <f t="shared" ca="1" si="62"/>
        <v>234.02305604194416</v>
      </c>
      <c r="S54" s="82">
        <f t="shared" si="63"/>
        <v>41421</v>
      </c>
      <c r="T54" s="86">
        <f t="shared" ca="1" si="64"/>
        <v>0.99867872627566534</v>
      </c>
      <c r="U54" s="87">
        <f t="shared" ca="1" si="83"/>
        <v>-698421.54847776121</v>
      </c>
      <c r="V54" s="102">
        <f ca="1">VLOOKUP(Z54,'MX PV'!$C$2:$G$134,5,FALSE)</f>
        <v>-698421.54847776203</v>
      </c>
      <c r="W54" s="105">
        <f t="shared" ca="1" si="19"/>
        <v>0</v>
      </c>
      <c r="X54" s="178"/>
      <c r="Y54" s="142" t="str">
        <f t="shared" ref="Y54:Y85" ca="1" si="84">IF(ABS(W54)&lt;$E$2,"Pass","Fail")</f>
        <v>Pass</v>
      </c>
      <c r="Z54" s="123" t="s">
        <v>169</v>
      </c>
      <c r="AA54" s="299"/>
      <c r="AB54" s="299"/>
    </row>
    <row r="55" spans="1:28">
      <c r="A55" s="310"/>
      <c r="B55" s="88">
        <v>100000000</v>
      </c>
      <c r="C55" s="172" t="str">
        <f t="shared" ref="C55" si="85">IF(OR(D55="FR",D55="US"),"Linear","Piecewise")</f>
        <v>Linear</v>
      </c>
      <c r="D55" s="172" t="s">
        <v>24</v>
      </c>
      <c r="E55" s="172">
        <v>7</v>
      </c>
      <c r="F55" s="172" t="s">
        <v>26</v>
      </c>
      <c r="G55" s="172" t="s">
        <v>91</v>
      </c>
      <c r="H55" s="89">
        <v>1.2E-2</v>
      </c>
      <c r="I55" s="172" t="str">
        <f t="shared" ref="I55" si="86">IF(OR(D55="FR",D55="EUR"),"EUR",IF(D55="GB","GBP","USD"))</f>
        <v>USD</v>
      </c>
      <c r="J55" s="172">
        <f t="shared" ref="J55" si="87">IF(I55="GBP",0,2)</f>
        <v>2</v>
      </c>
      <c r="K55" s="90">
        <f t="shared" ca="1" si="49"/>
        <v>41423</v>
      </c>
      <c r="L55" s="90">
        <f ca="1">AddTenorToDate(K55,GetNumsForString(G55),GetCharsForString(G55))</f>
        <v>41788</v>
      </c>
      <c r="M55" s="90">
        <f t="shared" ref="M55" ca="1" si="88">AddTenorToDateAsBDModFol(L55,"0D",INDIRECT(I55&amp;"Hols"))</f>
        <v>41788</v>
      </c>
      <c r="N55" s="91">
        <f ca="1">IF(F55="Yes",B55*((1+H55)^TimeToMaturity(L55,K55,"30 / 360")-1),-B55*((1+H55)^TimeToMaturity(L55,K55,"30 / 360")-1))</f>
        <v>1200000.0000000012</v>
      </c>
      <c r="O55" s="90">
        <f t="shared" ref="O55" ca="1" si="89">GetCPIDate(K55,E55,C55)</f>
        <v>41211</v>
      </c>
      <c r="P55" s="92">
        <f t="shared" ref="P55" ca="1" si="90">GetReferenceCPI(K55,E55,C55,INDIRECT(D55&amp;"_Fixings"),FALSE)</f>
        <v>230.32706451612904</v>
      </c>
      <c r="Q55" s="90">
        <f t="shared" ca="1" si="13"/>
        <v>41576</v>
      </c>
      <c r="R55" s="93">
        <f t="shared" ca="1" si="62"/>
        <v>233.87498128403894</v>
      </c>
      <c r="S55" s="90">
        <f t="shared" si="63"/>
        <v>41421</v>
      </c>
      <c r="T55" s="94">
        <f t="shared" ca="1" si="64"/>
        <v>0.99867872627566534</v>
      </c>
      <c r="U55" s="95">
        <f t="shared" ca="1" si="83"/>
        <v>-339932.31639528484</v>
      </c>
      <c r="V55" s="103">
        <f ca="1">VLOOKUP(Z55,'MX PV'!$C$2:$G$134,5,FALSE)</f>
        <v>-339932.31639529503</v>
      </c>
      <c r="W55" s="115">
        <f t="shared" ca="1" si="19"/>
        <v>-1.0186340659856796E-8</v>
      </c>
      <c r="X55" s="178"/>
      <c r="Y55" s="142" t="str">
        <f t="shared" ca="1" si="84"/>
        <v>Pass</v>
      </c>
      <c r="Z55" s="123" t="s">
        <v>170</v>
      </c>
      <c r="AA55" s="299"/>
      <c r="AB55" s="299"/>
    </row>
    <row r="56" spans="1:28" ht="15" customHeight="1">
      <c r="A56" s="308" t="s">
        <v>103</v>
      </c>
      <c r="B56" s="70">
        <v>100000000</v>
      </c>
      <c r="C56" s="71" t="str">
        <f t="shared" ref="C56:C87" si="91">IF(OR(D56="FR",D56="US"),"Linear","Piecewise")</f>
        <v>Linear</v>
      </c>
      <c r="D56" s="71" t="s">
        <v>24</v>
      </c>
      <c r="E56" s="71">
        <v>3</v>
      </c>
      <c r="F56" s="71" t="s">
        <v>27</v>
      </c>
      <c r="G56" s="71"/>
      <c r="H56" s="72">
        <v>0.02</v>
      </c>
      <c r="I56" s="71" t="str">
        <f t="shared" ref="I56:I86" si="92">IF(OR(D56="FR",D56="EUR"),"EUR",IF(D56="GB","GBP","USD"))</f>
        <v>USD</v>
      </c>
      <c r="J56" s="71">
        <f t="shared" ref="J56:J87" si="93">IF(I56="GBP",0,2)</f>
        <v>2</v>
      </c>
      <c r="K56" s="73">
        <f t="shared" ca="1" si="49"/>
        <v>41423</v>
      </c>
      <c r="L56" s="73">
        <v>41640</v>
      </c>
      <c r="M56" s="73">
        <f t="shared" ref="M56:M86" ca="1" si="94">AddTenorToDateAsBDModFol(L56,"0D",INDIRECT(I56&amp;"Hols"))</f>
        <v>41641</v>
      </c>
      <c r="N56" s="74">
        <f ca="1">IF(F56="Yes",B56*((1+H56)^TimeToMaturity(L56,K56,"30 / 360")-1),-B56*((1+H56)^TimeToMaturity(L56,K56,"30 / 360")-1))</f>
        <v>-1172980.8111518912</v>
      </c>
      <c r="O56" s="73">
        <f t="shared" ref="O56:O86" ca="1" si="95">GetCPIDate(K56,E56,C56)</f>
        <v>41333</v>
      </c>
      <c r="P56" s="75">
        <f ca="1">GetReferenceCPI(K56,E56,C56,INDIRECT(D56&amp;"_Fixings"),FALSE)</f>
        <v>232.71425806451612</v>
      </c>
      <c r="Q56" s="73">
        <f t="shared" ca="1" si="13"/>
        <v>41548</v>
      </c>
      <c r="R56" s="76">
        <f t="shared" ca="1" si="62"/>
        <v>233.55587150310208</v>
      </c>
      <c r="S56" s="73">
        <f t="shared" si="63"/>
        <v>41421</v>
      </c>
      <c r="T56" s="77">
        <f t="shared" ca="1" si="64"/>
        <v>0.99927557196346473</v>
      </c>
      <c r="U56" s="78">
        <f t="shared" ca="1" si="83"/>
        <v>-810742.06231229939</v>
      </c>
      <c r="V56" s="183">
        <f ca="1">VLOOKUP(Z56,'MX PV'!$C$2:$G$134,5,FALSE)</f>
        <v>-805848.28320316202</v>
      </c>
      <c r="W56" s="105">
        <f t="shared" ca="1" si="19"/>
        <v>4893.7791091373656</v>
      </c>
      <c r="X56" s="178"/>
      <c r="Y56" s="142" t="str">
        <f t="shared" ca="1" si="84"/>
        <v>Fail</v>
      </c>
      <c r="Z56" s="123" t="s">
        <v>171</v>
      </c>
      <c r="AA56" s="299"/>
      <c r="AB56" s="299"/>
    </row>
    <row r="57" spans="1:28">
      <c r="A57" s="309"/>
      <c r="B57" s="79">
        <v>100000000</v>
      </c>
      <c r="C57" s="80" t="str">
        <f t="shared" si="91"/>
        <v>Linear</v>
      </c>
      <c r="D57" s="80" t="s">
        <v>24</v>
      </c>
      <c r="E57" s="80">
        <v>3</v>
      </c>
      <c r="F57" s="80" t="s">
        <v>27</v>
      </c>
      <c r="G57" s="80"/>
      <c r="H57" s="81">
        <v>0.02</v>
      </c>
      <c r="I57" s="80" t="str">
        <f t="shared" si="92"/>
        <v>USD</v>
      </c>
      <c r="J57" s="80">
        <f t="shared" si="93"/>
        <v>2</v>
      </c>
      <c r="K57" s="82">
        <f t="shared" ca="1" si="49"/>
        <v>41423</v>
      </c>
      <c r="L57" s="82">
        <v>41641</v>
      </c>
      <c r="M57" s="82">
        <f t="shared" ca="1" si="94"/>
        <v>41641</v>
      </c>
      <c r="N57" s="83">
        <f ca="1">IF(F57="Yes",B57*((1+H57)^TimeToMaturity(L57,K57,"30 / 360")-1),-B57*((1+H57)^TimeToMaturity(L57,K57,"30 / 360")-1))</f>
        <v>-1178546.2165290194</v>
      </c>
      <c r="O57" s="82">
        <f t="shared" ca="1" si="95"/>
        <v>41333</v>
      </c>
      <c r="P57" s="84">
        <f t="shared" ref="P57:P86" ca="1" si="96">GetReferenceCPI(K57,E57,C57,INDIRECT(D57&amp;"_Fixings"),FALSE)</f>
        <v>232.71425806451612</v>
      </c>
      <c r="Q57" s="82">
        <f t="shared" ca="1" si="13"/>
        <v>41549</v>
      </c>
      <c r="R57" s="85">
        <f t="shared" ca="1" si="62"/>
        <v>233.56726828099269</v>
      </c>
      <c r="S57" s="82">
        <f t="shared" si="63"/>
        <v>41421</v>
      </c>
      <c r="T57" s="86">
        <f t="shared" ca="1" si="64"/>
        <v>0.99927557196346473</v>
      </c>
      <c r="U57" s="87">
        <f t="shared" ca="1" si="83"/>
        <v>-811409.65684456949</v>
      </c>
      <c r="V57" s="183">
        <f ca="1">VLOOKUP(Z57,'MX PV'!$C$2:$G$134,5,FALSE)</f>
        <v>-811409.65684460301</v>
      </c>
      <c r="W57" s="105">
        <f t="shared" ca="1" si="19"/>
        <v>-3.3527612686157227E-8</v>
      </c>
      <c r="X57" s="178"/>
      <c r="Y57" s="142" t="str">
        <f t="shared" ca="1" si="84"/>
        <v>Pass</v>
      </c>
      <c r="Z57" s="123" t="s">
        <v>172</v>
      </c>
      <c r="AA57" s="299"/>
      <c r="AB57" s="299"/>
    </row>
    <row r="58" spans="1:28">
      <c r="A58" s="309"/>
      <c r="B58" s="79">
        <v>100000000</v>
      </c>
      <c r="C58" s="80" t="str">
        <f t="shared" si="91"/>
        <v>Linear</v>
      </c>
      <c r="D58" s="80" t="s">
        <v>24</v>
      </c>
      <c r="E58" s="80">
        <v>3</v>
      </c>
      <c r="F58" s="80" t="s">
        <v>27</v>
      </c>
      <c r="G58" s="80"/>
      <c r="H58" s="81">
        <v>0.02</v>
      </c>
      <c r="I58" s="80" t="str">
        <f t="shared" si="92"/>
        <v>USD</v>
      </c>
      <c r="J58" s="80">
        <f t="shared" si="93"/>
        <v>2</v>
      </c>
      <c r="K58" s="82">
        <f t="shared" ca="1" si="49"/>
        <v>41423</v>
      </c>
      <c r="L58" s="82">
        <v>41642</v>
      </c>
      <c r="M58" s="82">
        <f t="shared" ca="1" si="94"/>
        <v>41642</v>
      </c>
      <c r="N58" s="83">
        <f ca="1">IF(F58="Yes",B58*((1+H58)^TimeToMaturity(L58,K58,"30 / 360")-1),-B58*((1+H58)^TimeToMaturity(L58,K58,"30 / 360")-1))</f>
        <v>-1184111.928052478</v>
      </c>
      <c r="O58" s="82">
        <f t="shared" ca="1" si="95"/>
        <v>41333</v>
      </c>
      <c r="P58" s="84">
        <f t="shared" ca="1" si="96"/>
        <v>232.71425806451612</v>
      </c>
      <c r="Q58" s="82">
        <f t="shared" ca="1" si="13"/>
        <v>41550</v>
      </c>
      <c r="R58" s="85">
        <f t="shared" ca="1" si="62"/>
        <v>233.5786650588833</v>
      </c>
      <c r="S58" s="82">
        <f t="shared" si="63"/>
        <v>41421</v>
      </c>
      <c r="T58" s="86">
        <f t="shared" ca="1" si="64"/>
        <v>0.99927203903074613</v>
      </c>
      <c r="U58" s="87">
        <f t="shared" ca="1" si="83"/>
        <v>-812074.68620613706</v>
      </c>
      <c r="V58" s="183">
        <f ca="1">VLOOKUP(Z58,'MX PV'!$C$2:$G$134,5,FALSE)</f>
        <v>-812074.686206165</v>
      </c>
      <c r="W58" s="105">
        <f t="shared" ca="1" si="19"/>
        <v>-2.7939677238464355E-8</v>
      </c>
      <c r="X58" s="178"/>
      <c r="Y58" s="142" t="str">
        <f t="shared" ca="1" si="84"/>
        <v>Pass</v>
      </c>
      <c r="Z58" s="123" t="s">
        <v>173</v>
      </c>
      <c r="AA58" s="299"/>
      <c r="AB58" s="299"/>
    </row>
    <row r="59" spans="1:28">
      <c r="A59" s="309"/>
      <c r="B59" s="79">
        <v>100000000</v>
      </c>
      <c r="C59" s="80" t="str">
        <f t="shared" si="91"/>
        <v>Linear</v>
      </c>
      <c r="D59" s="80" t="s">
        <v>24</v>
      </c>
      <c r="E59" s="80">
        <v>3</v>
      </c>
      <c r="F59" s="80" t="s">
        <v>27</v>
      </c>
      <c r="G59" s="80"/>
      <c r="H59" s="81">
        <v>0.02</v>
      </c>
      <c r="I59" s="80" t="str">
        <f t="shared" si="92"/>
        <v>USD</v>
      </c>
      <c r="J59" s="80">
        <f t="shared" si="93"/>
        <v>2</v>
      </c>
      <c r="K59" s="82">
        <f t="shared" ca="1" si="49"/>
        <v>41423</v>
      </c>
      <c r="L59" s="82">
        <v>41643</v>
      </c>
      <c r="M59" s="82">
        <f t="shared" ca="1" si="94"/>
        <v>41645</v>
      </c>
      <c r="N59" s="83">
        <f ca="1">IF(F59="Yes",B59*((1+H59)^TimeToMaturity(L59,K59,"30 / 360")-1),-B59*((1+H59)^TimeToMaturity(L59,K59,"30 / 360")-1))</f>
        <v>-1189677.9457390981</v>
      </c>
      <c r="O59" s="82">
        <f t="shared" ca="1" si="95"/>
        <v>41333</v>
      </c>
      <c r="P59" s="84">
        <f t="shared" ca="1" si="96"/>
        <v>232.71425806451612</v>
      </c>
      <c r="Q59" s="82">
        <f t="shared" ca="1" si="13"/>
        <v>41551</v>
      </c>
      <c r="R59" s="85">
        <f t="shared" ca="1" si="62"/>
        <v>233.59006183677388</v>
      </c>
      <c r="S59" s="82">
        <f t="shared" si="63"/>
        <v>41421</v>
      </c>
      <c r="T59" s="86">
        <f t="shared" ca="1" si="64"/>
        <v>0.99926142720669164</v>
      </c>
      <c r="U59" s="87">
        <f t="shared" ca="1" si="83"/>
        <v>-812734.2592743471</v>
      </c>
      <c r="V59" s="183">
        <f ca="1">VLOOKUP(Z59,'MX PV'!$C$2:$G$134,5,FALSE)</f>
        <v>-802946.83959907095</v>
      </c>
      <c r="W59" s="105">
        <f t="shared" ca="1" si="19"/>
        <v>9787.4196752761491</v>
      </c>
      <c r="X59" s="178"/>
      <c r="Y59" s="142" t="str">
        <f t="shared" ca="1" si="84"/>
        <v>Fail</v>
      </c>
      <c r="Z59" s="123" t="s">
        <v>174</v>
      </c>
      <c r="AA59" s="299"/>
      <c r="AB59" s="299"/>
    </row>
    <row r="60" spans="1:28">
      <c r="A60" s="309"/>
      <c r="B60" s="79">
        <v>100000000</v>
      </c>
      <c r="C60" s="80" t="str">
        <f t="shared" si="91"/>
        <v>Linear</v>
      </c>
      <c r="D60" s="80" t="s">
        <v>24</v>
      </c>
      <c r="E60" s="80">
        <v>3</v>
      </c>
      <c r="F60" s="80" t="s">
        <v>27</v>
      </c>
      <c r="G60" s="80"/>
      <c r="H60" s="81">
        <v>0.02</v>
      </c>
      <c r="I60" s="80" t="str">
        <f t="shared" si="92"/>
        <v>USD</v>
      </c>
      <c r="J60" s="80">
        <f t="shared" si="93"/>
        <v>2</v>
      </c>
      <c r="K60" s="82">
        <f t="shared" ca="1" si="49"/>
        <v>41423</v>
      </c>
      <c r="L60" s="82">
        <v>41644</v>
      </c>
      <c r="M60" s="82">
        <f t="shared" ca="1" si="94"/>
        <v>41645</v>
      </c>
      <c r="N60" s="83">
        <f ca="1">IF(F60="Yes",B60*((1+H60)^TimeToMaturity(L60,K60,"30 / 360")-1),-B60*((1+H60)^TimeToMaturity(L60,K60,"30 / 360")-1))</f>
        <v>-1195244.2696057553</v>
      </c>
      <c r="O60" s="82">
        <f t="shared" ca="1" si="95"/>
        <v>41333</v>
      </c>
      <c r="P60" s="84">
        <f t="shared" ca="1" si="96"/>
        <v>232.71425806451612</v>
      </c>
      <c r="Q60" s="82">
        <f t="shared" ca="1" si="13"/>
        <v>41552</v>
      </c>
      <c r="R60" s="85">
        <f t="shared" ca="1" si="62"/>
        <v>233.60145861466449</v>
      </c>
      <c r="S60" s="82">
        <f t="shared" si="63"/>
        <v>41421</v>
      </c>
      <c r="T60" s="86">
        <f t="shared" ca="1" si="64"/>
        <v>0.99926142720669164</v>
      </c>
      <c r="U60" s="87">
        <f t="shared" ca="1" si="83"/>
        <v>-813402.76216798904</v>
      </c>
      <c r="V60" s="183">
        <f ca="1">VLOOKUP(Z60,'MX PV'!$C$2:$G$134,5,FALSE)</f>
        <v>-808509.05233036506</v>
      </c>
      <c r="W60" s="105">
        <f t="shared" ca="1" si="19"/>
        <v>4893.7098376239883</v>
      </c>
      <c r="X60" s="178"/>
      <c r="Y60" s="142" t="str">
        <f t="shared" ca="1" si="84"/>
        <v>Fail</v>
      </c>
      <c r="Z60" s="123" t="s">
        <v>175</v>
      </c>
      <c r="AA60" s="299"/>
      <c r="AB60" s="299"/>
    </row>
    <row r="61" spans="1:28">
      <c r="A61" s="309"/>
      <c r="B61" s="79">
        <v>100000000</v>
      </c>
      <c r="C61" s="80" t="str">
        <f t="shared" si="91"/>
        <v>Linear</v>
      </c>
      <c r="D61" s="80" t="s">
        <v>24</v>
      </c>
      <c r="E61" s="80">
        <v>3</v>
      </c>
      <c r="F61" s="80" t="s">
        <v>27</v>
      </c>
      <c r="G61" s="80"/>
      <c r="H61" s="81">
        <v>0.02</v>
      </c>
      <c r="I61" s="80" t="str">
        <f t="shared" si="92"/>
        <v>USD</v>
      </c>
      <c r="J61" s="80">
        <f t="shared" si="93"/>
        <v>2</v>
      </c>
      <c r="K61" s="82">
        <f t="shared" ca="1" si="49"/>
        <v>41423</v>
      </c>
      <c r="L61" s="82">
        <v>41645</v>
      </c>
      <c r="M61" s="82">
        <f t="shared" ca="1" si="94"/>
        <v>41645</v>
      </c>
      <c r="N61" s="83">
        <f ca="1">IF(F61="Yes",B61*((1+H61)^TimeToMaturity(L61,K61,"30 / 360")-1),-B61*((1+H61)^TimeToMaturity(L61,K61,"30 / 360")-1))</f>
        <v>-1200810.8996692579</v>
      </c>
      <c r="O61" s="82">
        <f t="shared" ca="1" si="95"/>
        <v>41333</v>
      </c>
      <c r="P61" s="84">
        <f t="shared" ca="1" si="96"/>
        <v>232.71425806451612</v>
      </c>
      <c r="Q61" s="82">
        <f t="shared" ca="1" si="13"/>
        <v>41553</v>
      </c>
      <c r="R61" s="85">
        <f t="shared" ca="1" si="62"/>
        <v>233.6128553925551</v>
      </c>
      <c r="S61" s="82">
        <f t="shared" si="63"/>
        <v>41421</v>
      </c>
      <c r="T61" s="86">
        <f t="shared" ca="1" si="64"/>
        <v>0.99926142720669164</v>
      </c>
      <c r="U61" s="87">
        <f t="shared" ca="1" si="83"/>
        <v>-814071.57103232783</v>
      </c>
      <c r="V61" s="183">
        <f ca="1">VLOOKUP(Z61,'MX PV'!$C$2:$G$134,5,FALSE)</f>
        <v>-814071.57103234902</v>
      </c>
      <c r="W61" s="105">
        <f t="shared" ca="1" si="19"/>
        <v>-2.1187588572502136E-8</v>
      </c>
      <c r="X61" s="178"/>
      <c r="Y61" s="142" t="str">
        <f t="shared" ca="1" si="84"/>
        <v>Pass</v>
      </c>
      <c r="Z61" s="123" t="s">
        <v>176</v>
      </c>
      <c r="AA61" s="299"/>
      <c r="AB61" s="299"/>
    </row>
    <row r="62" spans="1:28">
      <c r="A62" s="309"/>
      <c r="B62" s="79">
        <v>100000000</v>
      </c>
      <c r="C62" s="80" t="str">
        <f t="shared" si="91"/>
        <v>Linear</v>
      </c>
      <c r="D62" s="80" t="s">
        <v>24</v>
      </c>
      <c r="E62" s="80">
        <v>3</v>
      </c>
      <c r="F62" s="80" t="s">
        <v>27</v>
      </c>
      <c r="G62" s="80"/>
      <c r="H62" s="81">
        <v>0.02</v>
      </c>
      <c r="I62" s="80" t="str">
        <f t="shared" si="92"/>
        <v>USD</v>
      </c>
      <c r="J62" s="80">
        <f t="shared" si="93"/>
        <v>2</v>
      </c>
      <c r="K62" s="82">
        <f t="shared" ref="K62:K93" ca="1" si="97">AddTenorToDateAsBD($B$2,J62&amp;"D",INDIRECT(I62&amp;"Hols"))</f>
        <v>41423</v>
      </c>
      <c r="L62" s="82">
        <v>41646</v>
      </c>
      <c r="M62" s="82">
        <f t="shared" ca="1" si="94"/>
        <v>41646</v>
      </c>
      <c r="N62" s="83">
        <f ca="1">IF(F62="Yes",B62*((1+H62)^TimeToMaturity(L62,K62,"30 / 360")-1),-B62*((1+H62)^TimeToMaturity(L62,K62,"30 / 360")-1))</f>
        <v>-1206377.8359464593</v>
      </c>
      <c r="O62" s="82">
        <f t="shared" ca="1" si="95"/>
        <v>41333</v>
      </c>
      <c r="P62" s="84">
        <f t="shared" ca="1" si="96"/>
        <v>232.71425806451612</v>
      </c>
      <c r="Q62" s="82">
        <f t="shared" ca="1" si="13"/>
        <v>41554</v>
      </c>
      <c r="R62" s="85">
        <f t="shared" ca="1" si="62"/>
        <v>233.62425217044569</v>
      </c>
      <c r="S62" s="82">
        <f t="shared" si="63"/>
        <v>41421</v>
      </c>
      <c r="T62" s="86">
        <f t="shared" ca="1" si="64"/>
        <v>0.99925788559011786</v>
      </c>
      <c r="U62" s="87">
        <f t="shared" ca="1" si="83"/>
        <v>-814737.79825236148</v>
      </c>
      <c r="V62" s="183">
        <f ca="1">VLOOKUP(Z62,'MX PV'!$C$2:$G$134,5,FALSE)</f>
        <v>-814737.79825237498</v>
      </c>
      <c r="W62" s="105">
        <f t="shared" ca="1" si="19"/>
        <v>-1.3504177331924438E-8</v>
      </c>
      <c r="X62" s="178"/>
      <c r="Y62" s="142" t="str">
        <f t="shared" ca="1" si="84"/>
        <v>Pass</v>
      </c>
      <c r="Z62" s="123" t="s">
        <v>177</v>
      </c>
      <c r="AA62" s="299"/>
      <c r="AB62" s="299"/>
    </row>
    <row r="63" spans="1:28">
      <c r="A63" s="309"/>
      <c r="B63" s="79">
        <v>100000000</v>
      </c>
      <c r="C63" s="80" t="str">
        <f t="shared" si="91"/>
        <v>Linear</v>
      </c>
      <c r="D63" s="80" t="s">
        <v>24</v>
      </c>
      <c r="E63" s="80">
        <v>3</v>
      </c>
      <c r="F63" s="80" t="s">
        <v>27</v>
      </c>
      <c r="G63" s="80"/>
      <c r="H63" s="81">
        <v>0.02</v>
      </c>
      <c r="I63" s="80" t="str">
        <f t="shared" si="92"/>
        <v>USD</v>
      </c>
      <c r="J63" s="80">
        <f t="shared" si="93"/>
        <v>2</v>
      </c>
      <c r="K63" s="82">
        <f t="shared" ca="1" si="97"/>
        <v>41423</v>
      </c>
      <c r="L63" s="82">
        <v>41647</v>
      </c>
      <c r="M63" s="82">
        <f t="shared" ca="1" si="94"/>
        <v>41647</v>
      </c>
      <c r="N63" s="83">
        <f ca="1">IF(F63="Yes",B63*((1+H63)^TimeToMaturity(L63,K63,"30 / 360")-1),-B63*((1+H63)^TimeToMaturity(L63,K63,"30 / 360")-1))</f>
        <v>-1211945.078454213</v>
      </c>
      <c r="O63" s="82">
        <f t="shared" ca="1" si="95"/>
        <v>41333</v>
      </c>
      <c r="P63" s="84">
        <f t="shared" ca="1" si="96"/>
        <v>232.71425806451612</v>
      </c>
      <c r="Q63" s="82">
        <f t="shared" ca="1" si="13"/>
        <v>41555</v>
      </c>
      <c r="R63" s="85">
        <f t="shared" ca="1" si="62"/>
        <v>233.6356489483363</v>
      </c>
      <c r="S63" s="82">
        <f t="shared" si="63"/>
        <v>41421</v>
      </c>
      <c r="T63" s="86">
        <f t="shared" ca="1" si="64"/>
        <v>0.99925434180263817</v>
      </c>
      <c r="U63" s="87">
        <f t="shared" ca="1" si="83"/>
        <v>-815404.32496011804</v>
      </c>
      <c r="V63" s="183">
        <f ca="1">VLOOKUP(Z63,'MX PV'!$C$2:$G$134,5,FALSE)</f>
        <v>-815404.32496013399</v>
      </c>
      <c r="W63" s="105">
        <f t="shared" ca="1" si="19"/>
        <v>-1.594889909029007E-8</v>
      </c>
      <c r="X63" s="178"/>
      <c r="Y63" s="142" t="str">
        <f t="shared" ca="1" si="84"/>
        <v>Pass</v>
      </c>
      <c r="Z63" s="123" t="s">
        <v>178</v>
      </c>
      <c r="AA63" s="299"/>
      <c r="AB63" s="299"/>
    </row>
    <row r="64" spans="1:28">
      <c r="A64" s="309"/>
      <c r="B64" s="79">
        <v>100000000</v>
      </c>
      <c r="C64" s="80" t="str">
        <f t="shared" si="91"/>
        <v>Linear</v>
      </c>
      <c r="D64" s="80" t="s">
        <v>24</v>
      </c>
      <c r="E64" s="80">
        <v>3</v>
      </c>
      <c r="F64" s="80" t="s">
        <v>27</v>
      </c>
      <c r="G64" s="80"/>
      <c r="H64" s="81">
        <v>0.02</v>
      </c>
      <c r="I64" s="80" t="str">
        <f t="shared" si="92"/>
        <v>USD</v>
      </c>
      <c r="J64" s="80">
        <f t="shared" si="93"/>
        <v>2</v>
      </c>
      <c r="K64" s="82">
        <f t="shared" ca="1" si="97"/>
        <v>41423</v>
      </c>
      <c r="L64" s="82">
        <v>41648</v>
      </c>
      <c r="M64" s="82">
        <f t="shared" ca="1" si="94"/>
        <v>41648</v>
      </c>
      <c r="N64" s="83">
        <f ca="1">IF(F64="Yes",B64*((1+H64)^TimeToMaturity(L64,K64,"30 / 360")-1),-B64*((1+H64)^TimeToMaturity(L64,K64,"30 / 360")-1))</f>
        <v>-1217512.6272093495</v>
      </c>
      <c r="O64" s="82">
        <f t="shared" ca="1" si="95"/>
        <v>41333</v>
      </c>
      <c r="P64" s="84">
        <f t="shared" ca="1" si="96"/>
        <v>232.71425806451612</v>
      </c>
      <c r="Q64" s="82">
        <f t="shared" ca="1" si="13"/>
        <v>41556</v>
      </c>
      <c r="R64" s="85">
        <f t="shared" ca="1" si="62"/>
        <v>233.64704572622691</v>
      </c>
      <c r="S64" s="82">
        <f t="shared" si="63"/>
        <v>41421</v>
      </c>
      <c r="T64" s="86">
        <f t="shared" ca="1" si="64"/>
        <v>0.99925079584427567</v>
      </c>
      <c r="U64" s="87">
        <f t="shared" ca="1" si="83"/>
        <v>-816071.15116479388</v>
      </c>
      <c r="V64" s="183">
        <f ca="1">VLOOKUP(Z64,'MX PV'!$C$2:$G$134,5,FALSE)</f>
        <v>-816071.15116482996</v>
      </c>
      <c r="W64" s="105">
        <f t="shared" ca="1" si="19"/>
        <v>-3.6088749766349792E-8</v>
      </c>
      <c r="X64" s="178"/>
      <c r="Y64" s="142" t="str">
        <f t="shared" ca="1" si="84"/>
        <v>Pass</v>
      </c>
      <c r="Z64" s="123" t="s">
        <v>179</v>
      </c>
      <c r="AA64" s="299"/>
      <c r="AB64" s="299"/>
    </row>
    <row r="65" spans="1:28">
      <c r="A65" s="309"/>
      <c r="B65" s="79">
        <v>100000000</v>
      </c>
      <c r="C65" s="80" t="str">
        <f t="shared" si="91"/>
        <v>Linear</v>
      </c>
      <c r="D65" s="80" t="s">
        <v>24</v>
      </c>
      <c r="E65" s="80">
        <v>3</v>
      </c>
      <c r="F65" s="80" t="s">
        <v>27</v>
      </c>
      <c r="G65" s="80"/>
      <c r="H65" s="81">
        <v>0.02</v>
      </c>
      <c r="I65" s="80" t="str">
        <f t="shared" si="92"/>
        <v>USD</v>
      </c>
      <c r="J65" s="80">
        <f t="shared" si="93"/>
        <v>2</v>
      </c>
      <c r="K65" s="82">
        <f t="shared" ca="1" si="97"/>
        <v>41423</v>
      </c>
      <c r="L65" s="82">
        <v>41649</v>
      </c>
      <c r="M65" s="82">
        <f t="shared" ca="1" si="94"/>
        <v>41649</v>
      </c>
      <c r="N65" s="83">
        <f ca="1">IF(F65="Yes",B65*((1+H65)^TimeToMaturity(L65,K65,"30 / 360")-1),-B65*((1+H65)^TimeToMaturity(L65,K65,"30 / 360")-1))</f>
        <v>-1223080.4822287445</v>
      </c>
      <c r="O65" s="82">
        <f t="shared" ca="1" si="95"/>
        <v>41333</v>
      </c>
      <c r="P65" s="84">
        <f t="shared" ca="1" si="96"/>
        <v>232.71425806451612</v>
      </c>
      <c r="Q65" s="82">
        <f t="shared" ca="1" si="13"/>
        <v>41557</v>
      </c>
      <c r="R65" s="85">
        <f t="shared" ca="1" si="62"/>
        <v>233.65844250411752</v>
      </c>
      <c r="S65" s="82">
        <f t="shared" si="63"/>
        <v>41421</v>
      </c>
      <c r="T65" s="86">
        <f t="shared" ca="1" si="64"/>
        <v>0.9992472477150538</v>
      </c>
      <c r="U65" s="87">
        <f t="shared" ca="1" si="83"/>
        <v>-816738.27687569242</v>
      </c>
      <c r="V65" s="183">
        <f ca="1">VLOOKUP(Z65,'MX PV'!$C$2:$G$134,5,FALSE)</f>
        <v>-816738.27687571698</v>
      </c>
      <c r="W65" s="105">
        <f t="shared" ca="1" si="19"/>
        <v>-2.4563632905483246E-8</v>
      </c>
      <c r="X65" s="178"/>
      <c r="Y65" s="142" t="str">
        <f t="shared" ca="1" si="84"/>
        <v>Pass</v>
      </c>
      <c r="Z65" s="123" t="s">
        <v>180</v>
      </c>
      <c r="AA65" s="299"/>
      <c r="AB65" s="299"/>
    </row>
    <row r="66" spans="1:28">
      <c r="A66" s="309"/>
      <c r="B66" s="79">
        <v>100000000</v>
      </c>
      <c r="C66" s="80" t="str">
        <f t="shared" si="91"/>
        <v>Linear</v>
      </c>
      <c r="D66" s="80" t="s">
        <v>24</v>
      </c>
      <c r="E66" s="80">
        <v>3</v>
      </c>
      <c r="F66" s="80" t="s">
        <v>27</v>
      </c>
      <c r="G66" s="80"/>
      <c r="H66" s="81">
        <v>0.02</v>
      </c>
      <c r="I66" s="80" t="str">
        <f t="shared" si="92"/>
        <v>USD</v>
      </c>
      <c r="J66" s="80">
        <f t="shared" si="93"/>
        <v>2</v>
      </c>
      <c r="K66" s="82">
        <f t="shared" ca="1" si="97"/>
        <v>41423</v>
      </c>
      <c r="L66" s="82">
        <v>41650</v>
      </c>
      <c r="M66" s="82">
        <f t="shared" ca="1" si="94"/>
        <v>41652</v>
      </c>
      <c r="N66" s="83">
        <f ca="1">IF(F66="Yes",B66*((1+H66)^TimeToMaturity(L66,K66,"30 / 360")-1),-B66*((1+H66)^TimeToMaturity(L66,K66,"30 / 360")-1))</f>
        <v>-1228648.6435292065</v>
      </c>
      <c r="O66" s="82">
        <f t="shared" ca="1" si="95"/>
        <v>41333</v>
      </c>
      <c r="P66" s="84">
        <f t="shared" ca="1" si="96"/>
        <v>232.71425806451612</v>
      </c>
      <c r="Q66" s="82">
        <f t="shared" ca="1" si="13"/>
        <v>41558</v>
      </c>
      <c r="R66" s="85">
        <f t="shared" ca="1" si="62"/>
        <v>233.66983928200813</v>
      </c>
      <c r="S66" s="82">
        <f t="shared" si="63"/>
        <v>41421</v>
      </c>
      <c r="T66" s="86">
        <f t="shared" ca="1" si="64"/>
        <v>0.99923659030246315</v>
      </c>
      <c r="U66" s="87">
        <f t="shared" ca="1" si="83"/>
        <v>-817399.88831068447</v>
      </c>
      <c r="V66" s="183">
        <f ca="1">VLOOKUP(Z66,'MX PV'!$C$2:$G$134,5,FALSE)</f>
        <v>-807612.71190429002</v>
      </c>
      <c r="W66" s="105">
        <f t="shared" ca="1" si="19"/>
        <v>9787.1764063944574</v>
      </c>
      <c r="X66" s="178"/>
      <c r="Y66" s="142" t="str">
        <f t="shared" ca="1" si="84"/>
        <v>Fail</v>
      </c>
      <c r="Z66" s="123" t="s">
        <v>181</v>
      </c>
      <c r="AA66" s="299"/>
      <c r="AB66" s="299"/>
    </row>
    <row r="67" spans="1:28">
      <c r="A67" s="309"/>
      <c r="B67" s="79">
        <v>100000000</v>
      </c>
      <c r="C67" s="80" t="str">
        <f t="shared" si="91"/>
        <v>Linear</v>
      </c>
      <c r="D67" s="80" t="s">
        <v>24</v>
      </c>
      <c r="E67" s="80">
        <v>3</v>
      </c>
      <c r="F67" s="80" t="s">
        <v>27</v>
      </c>
      <c r="G67" s="80"/>
      <c r="H67" s="81">
        <v>0.02</v>
      </c>
      <c r="I67" s="80" t="str">
        <f t="shared" si="92"/>
        <v>USD</v>
      </c>
      <c r="J67" s="80">
        <f t="shared" si="93"/>
        <v>2</v>
      </c>
      <c r="K67" s="82">
        <f t="shared" ca="1" si="97"/>
        <v>41423</v>
      </c>
      <c r="L67" s="82">
        <v>41651</v>
      </c>
      <c r="M67" s="82">
        <f t="shared" ca="1" si="94"/>
        <v>41652</v>
      </c>
      <c r="N67" s="83">
        <f ca="1">IF(F67="Yes",B67*((1+H67)^TimeToMaturity(L67,K67,"30 / 360")-1),-B67*((1+H67)^TimeToMaturity(L67,K67,"30 / 360")-1))</f>
        <v>-1234217.1111275891</v>
      </c>
      <c r="O67" s="82">
        <f t="shared" ca="1" si="95"/>
        <v>41333</v>
      </c>
      <c r="P67" s="84">
        <f t="shared" ca="1" si="96"/>
        <v>232.71425806451612</v>
      </c>
      <c r="Q67" s="82">
        <f t="shared" ca="1" si="13"/>
        <v>41559</v>
      </c>
      <c r="R67" s="85">
        <f t="shared" ca="1" si="62"/>
        <v>233.68123605989871</v>
      </c>
      <c r="S67" s="82">
        <f t="shared" si="63"/>
        <v>41421</v>
      </c>
      <c r="T67" s="86">
        <f t="shared" ca="1" si="64"/>
        <v>0.99923659030246315</v>
      </c>
      <c r="U67" s="87">
        <f t="shared" ca="1" si="83"/>
        <v>-818070.516683692</v>
      </c>
      <c r="V67" s="183">
        <f ca="1">VLOOKUP(Z67,'MX PV'!$C$2:$G$134,5,FALSE)</f>
        <v>-813176.92848050501</v>
      </c>
      <c r="W67" s="105">
        <f t="shared" ca="1" si="19"/>
        <v>4893.5882031869842</v>
      </c>
      <c r="X67" s="178"/>
      <c r="Y67" s="142" t="str">
        <f t="shared" ca="1" si="84"/>
        <v>Fail</v>
      </c>
      <c r="Z67" s="123" t="s">
        <v>182</v>
      </c>
      <c r="AA67" s="299"/>
      <c r="AB67" s="299"/>
    </row>
    <row r="68" spans="1:28">
      <c r="A68" s="309"/>
      <c r="B68" s="79">
        <v>100000000</v>
      </c>
      <c r="C68" s="80" t="str">
        <f t="shared" si="91"/>
        <v>Linear</v>
      </c>
      <c r="D68" s="80" t="s">
        <v>24</v>
      </c>
      <c r="E68" s="80">
        <v>3</v>
      </c>
      <c r="F68" s="80" t="s">
        <v>27</v>
      </c>
      <c r="G68" s="80"/>
      <c r="H68" s="81">
        <v>0.02</v>
      </c>
      <c r="I68" s="80" t="str">
        <f t="shared" si="92"/>
        <v>USD</v>
      </c>
      <c r="J68" s="80">
        <f t="shared" si="93"/>
        <v>2</v>
      </c>
      <c r="K68" s="82">
        <f t="shared" ca="1" si="97"/>
        <v>41423</v>
      </c>
      <c r="L68" s="82">
        <v>41652</v>
      </c>
      <c r="M68" s="82">
        <f t="shared" ca="1" si="94"/>
        <v>41652</v>
      </c>
      <c r="N68" s="83">
        <f ca="1">IF(F68="Yes",B68*((1+H68)^TimeToMaturity(L68,K68,"30 / 360")-1),-B68*((1+H68)^TimeToMaturity(L68,K68,"30 / 360")-1))</f>
        <v>-1239785.8850407673</v>
      </c>
      <c r="O68" s="82">
        <f t="shared" ca="1" si="95"/>
        <v>41333</v>
      </c>
      <c r="P68" s="84">
        <f t="shared" ca="1" si="96"/>
        <v>232.71425806451612</v>
      </c>
      <c r="Q68" s="82">
        <f t="shared" ca="1" si="13"/>
        <v>41560</v>
      </c>
      <c r="R68" s="85">
        <f t="shared" ca="1" si="62"/>
        <v>233.69263283778932</v>
      </c>
      <c r="S68" s="82">
        <f t="shared" si="63"/>
        <v>41421</v>
      </c>
      <c r="T68" s="86">
        <f t="shared" ca="1" si="64"/>
        <v>0.99923659030246315</v>
      </c>
      <c r="U68" s="87">
        <f t="shared" ca="1" si="83"/>
        <v>-818741.45113765134</v>
      </c>
      <c r="V68" s="183">
        <f ca="1">VLOOKUP(Z68,'MX PV'!$C$2:$G$134,5,FALSE)</f>
        <v>-818741.45113767602</v>
      </c>
      <c r="W68" s="105">
        <f t="shared" ca="1" si="19"/>
        <v>-2.4680048227310181E-8</v>
      </c>
      <c r="X68" s="178"/>
      <c r="Y68" s="142" t="str">
        <f t="shared" ca="1" si="84"/>
        <v>Pass</v>
      </c>
      <c r="Z68" s="123" t="s">
        <v>183</v>
      </c>
      <c r="AA68" s="299"/>
      <c r="AB68" s="299"/>
    </row>
    <row r="69" spans="1:28">
      <c r="A69" s="309"/>
      <c r="B69" s="79">
        <v>100000000</v>
      </c>
      <c r="C69" s="80" t="str">
        <f t="shared" si="91"/>
        <v>Linear</v>
      </c>
      <c r="D69" s="80" t="s">
        <v>24</v>
      </c>
      <c r="E69" s="80">
        <v>3</v>
      </c>
      <c r="F69" s="80" t="s">
        <v>27</v>
      </c>
      <c r="G69" s="80"/>
      <c r="H69" s="81">
        <v>0.02</v>
      </c>
      <c r="I69" s="80" t="str">
        <f t="shared" si="92"/>
        <v>USD</v>
      </c>
      <c r="J69" s="80">
        <f t="shared" si="93"/>
        <v>2</v>
      </c>
      <c r="K69" s="82">
        <f t="shared" ca="1" si="97"/>
        <v>41423</v>
      </c>
      <c r="L69" s="82">
        <v>41653</v>
      </c>
      <c r="M69" s="82">
        <f t="shared" ca="1" si="94"/>
        <v>41653</v>
      </c>
      <c r="N69" s="83">
        <f ca="1">IF(F69="Yes",B69*((1+H69)^TimeToMaturity(L69,K69,"30 / 360")-1),-B69*((1+H69)^TimeToMaturity(L69,K69,"30 / 360")-1))</f>
        <v>-1245354.9652855943</v>
      </c>
      <c r="O69" s="82">
        <f t="shared" ca="1" si="95"/>
        <v>41333</v>
      </c>
      <c r="P69" s="84">
        <f t="shared" ca="1" si="96"/>
        <v>232.71425806451612</v>
      </c>
      <c r="Q69" s="82">
        <f t="shared" ca="1" si="13"/>
        <v>41561</v>
      </c>
      <c r="R69" s="85">
        <f t="shared" ca="1" si="62"/>
        <v>233.7040296156799</v>
      </c>
      <c r="S69" s="82">
        <f t="shared" si="63"/>
        <v>41421</v>
      </c>
      <c r="T69" s="86">
        <f t="shared" ca="1" si="64"/>
        <v>0.99923303349003534</v>
      </c>
      <c r="U69" s="87">
        <f t="shared" ca="1" si="83"/>
        <v>-819409.77496550232</v>
      </c>
      <c r="V69" s="183">
        <f ca="1">VLOOKUP(Z69,'MX PV'!$C$2:$G$134,5,FALSE)</f>
        <v>-819409.77496551396</v>
      </c>
      <c r="W69" s="105">
        <f t="shared" ca="1" si="19"/>
        <v>-1.1641532182693481E-8</v>
      </c>
      <c r="X69" s="178"/>
      <c r="Y69" s="142" t="str">
        <f t="shared" ca="1" si="84"/>
        <v>Pass</v>
      </c>
      <c r="Z69" s="123" t="s">
        <v>184</v>
      </c>
      <c r="AA69" s="299"/>
      <c r="AB69" s="299"/>
    </row>
    <row r="70" spans="1:28">
      <c r="A70" s="309"/>
      <c r="B70" s="79">
        <v>100000000</v>
      </c>
      <c r="C70" s="80" t="str">
        <f t="shared" si="91"/>
        <v>Linear</v>
      </c>
      <c r="D70" s="80" t="s">
        <v>24</v>
      </c>
      <c r="E70" s="80">
        <v>3</v>
      </c>
      <c r="F70" s="80" t="s">
        <v>27</v>
      </c>
      <c r="G70" s="80"/>
      <c r="H70" s="81">
        <v>0.02</v>
      </c>
      <c r="I70" s="80" t="str">
        <f t="shared" si="92"/>
        <v>USD</v>
      </c>
      <c r="J70" s="80">
        <f t="shared" si="93"/>
        <v>2</v>
      </c>
      <c r="K70" s="82">
        <f t="shared" ca="1" si="97"/>
        <v>41423</v>
      </c>
      <c r="L70" s="82">
        <v>41654</v>
      </c>
      <c r="M70" s="82">
        <f t="shared" ca="1" si="94"/>
        <v>41654</v>
      </c>
      <c r="N70" s="83">
        <f ca="1">IF(F70="Yes",B70*((1+H70)^TimeToMaturity(L70,K70,"30 / 360")-1),-B70*((1+H70)^TimeToMaturity(L70,K70,"30 / 360")-1))</f>
        <v>-1250924.3518788794</v>
      </c>
      <c r="O70" s="82">
        <f t="shared" ca="1" si="95"/>
        <v>41333</v>
      </c>
      <c r="P70" s="84">
        <f t="shared" ca="1" si="96"/>
        <v>232.71425806451612</v>
      </c>
      <c r="Q70" s="82">
        <f t="shared" ca="1" si="13"/>
        <v>41562</v>
      </c>
      <c r="R70" s="85">
        <f t="shared" ca="1" si="62"/>
        <v>233.71542639357048</v>
      </c>
      <c r="S70" s="82">
        <f t="shared" si="63"/>
        <v>41421</v>
      </c>
      <c r="T70" s="86">
        <f t="shared" ca="1" si="64"/>
        <v>0.99922947450686439</v>
      </c>
      <c r="U70" s="87">
        <f t="shared" ca="1" si="83"/>
        <v>-820078.39834560885</v>
      </c>
      <c r="V70" s="183">
        <f ca="1">VLOOKUP(Z70,'MX PV'!$C$2:$G$134,5,FALSE)</f>
        <v>-820078.39834561897</v>
      </c>
      <c r="W70" s="105">
        <f t="shared" ca="1" si="19"/>
        <v>-1.0128132998943329E-8</v>
      </c>
      <c r="X70" s="178"/>
      <c r="Y70" s="142" t="str">
        <f t="shared" ca="1" si="84"/>
        <v>Pass</v>
      </c>
      <c r="Z70" s="123" t="s">
        <v>185</v>
      </c>
      <c r="AA70" s="299"/>
      <c r="AB70" s="299"/>
    </row>
    <row r="71" spans="1:28">
      <c r="A71" s="309"/>
      <c r="B71" s="79">
        <v>100000000</v>
      </c>
      <c r="C71" s="80" t="str">
        <f t="shared" si="91"/>
        <v>Linear</v>
      </c>
      <c r="D71" s="80" t="s">
        <v>24</v>
      </c>
      <c r="E71" s="80">
        <v>3</v>
      </c>
      <c r="F71" s="80" t="s">
        <v>27</v>
      </c>
      <c r="G71" s="80"/>
      <c r="H71" s="81">
        <v>0.02</v>
      </c>
      <c r="I71" s="80" t="str">
        <f t="shared" si="92"/>
        <v>USD</v>
      </c>
      <c r="J71" s="80">
        <f t="shared" si="93"/>
        <v>2</v>
      </c>
      <c r="K71" s="82">
        <f t="shared" ca="1" si="97"/>
        <v>41423</v>
      </c>
      <c r="L71" s="82">
        <v>41655</v>
      </c>
      <c r="M71" s="82">
        <f t="shared" ca="1" si="94"/>
        <v>41655</v>
      </c>
      <c r="N71" s="83">
        <f ca="1">IF(F71="Yes",B71*((1+H71)^TimeToMaturity(L71,K71,"30 / 360")-1),-B71*((1+H71)^TimeToMaturity(L71,K71,"30 / 360")-1))</f>
        <v>-1256494.0448374972</v>
      </c>
      <c r="O71" s="82">
        <f t="shared" ca="1" si="95"/>
        <v>41333</v>
      </c>
      <c r="P71" s="84">
        <f t="shared" ca="1" si="96"/>
        <v>232.71425806451612</v>
      </c>
      <c r="Q71" s="82">
        <f t="shared" ca="1" si="13"/>
        <v>41563</v>
      </c>
      <c r="R71" s="85">
        <f t="shared" ca="1" si="62"/>
        <v>233.72682317146112</v>
      </c>
      <c r="S71" s="82">
        <f t="shared" si="63"/>
        <v>41421</v>
      </c>
      <c r="T71" s="86">
        <f t="shared" ca="1" si="64"/>
        <v>0.99922591335297339</v>
      </c>
      <c r="U71" s="87">
        <f t="shared" ca="1" si="83"/>
        <v>-820747.32128720428</v>
      </c>
      <c r="V71" s="183">
        <f ca="1">VLOOKUP(Z71,'MX PV'!$C$2:$G$134,5,FALSE)</f>
        <v>-820747.32128721103</v>
      </c>
      <c r="W71" s="105">
        <f t="shared" ca="1" si="19"/>
        <v>-6.7520886659622192E-9</v>
      </c>
      <c r="X71" s="178"/>
      <c r="Y71" s="142" t="str">
        <f t="shared" ca="1" si="84"/>
        <v>Pass</v>
      </c>
      <c r="Z71" s="123" t="s">
        <v>186</v>
      </c>
      <c r="AA71" s="299"/>
      <c r="AB71" s="299"/>
    </row>
    <row r="72" spans="1:28">
      <c r="A72" s="309"/>
      <c r="B72" s="79">
        <v>100000000</v>
      </c>
      <c r="C72" s="80" t="str">
        <f t="shared" si="91"/>
        <v>Linear</v>
      </c>
      <c r="D72" s="80" t="s">
        <v>24</v>
      </c>
      <c r="E72" s="80">
        <v>3</v>
      </c>
      <c r="F72" s="80" t="s">
        <v>27</v>
      </c>
      <c r="G72" s="80"/>
      <c r="H72" s="81">
        <v>0.02</v>
      </c>
      <c r="I72" s="80" t="str">
        <f t="shared" si="92"/>
        <v>USD</v>
      </c>
      <c r="J72" s="80">
        <f t="shared" si="93"/>
        <v>2</v>
      </c>
      <c r="K72" s="82">
        <f t="shared" ca="1" si="97"/>
        <v>41423</v>
      </c>
      <c r="L72" s="82">
        <v>41656</v>
      </c>
      <c r="M72" s="82">
        <f t="shared" ca="1" si="94"/>
        <v>41656</v>
      </c>
      <c r="N72" s="83">
        <f ca="1">IF(F72="Yes",B72*((1+H72)^TimeToMaturity(L72,K72,"30 / 360")-1),-B72*((1+H72)^TimeToMaturity(L72,K72,"30 / 360")-1))</f>
        <v>-1262064.0441783238</v>
      </c>
      <c r="O72" s="82">
        <f t="shared" ca="1" si="95"/>
        <v>41333</v>
      </c>
      <c r="P72" s="84">
        <f t="shared" ca="1" si="96"/>
        <v>232.71425806451612</v>
      </c>
      <c r="Q72" s="82">
        <f t="shared" ca="1" si="13"/>
        <v>41564</v>
      </c>
      <c r="R72" s="85">
        <f t="shared" ca="1" si="62"/>
        <v>233.7382199493517</v>
      </c>
      <c r="S72" s="82">
        <f t="shared" si="63"/>
        <v>41421</v>
      </c>
      <c r="T72" s="86">
        <f t="shared" ca="1" si="64"/>
        <v>0.99922235002838566</v>
      </c>
      <c r="U72" s="87">
        <f t="shared" ca="1" si="83"/>
        <v>-821416.54379951884</v>
      </c>
      <c r="V72" s="183">
        <f ca="1">VLOOKUP(Z72,'MX PV'!$C$2:$G$134,5,FALSE)</f>
        <v>-821416.54379952501</v>
      </c>
      <c r="W72" s="105">
        <f t="shared" ca="1" si="19"/>
        <v>-6.1700120568275452E-9</v>
      </c>
      <c r="X72" s="178"/>
      <c r="Y72" s="142" t="str">
        <f t="shared" ca="1" si="84"/>
        <v>Pass</v>
      </c>
      <c r="Z72" s="123" t="s">
        <v>187</v>
      </c>
      <c r="AA72" s="299"/>
      <c r="AB72" s="299"/>
    </row>
    <row r="73" spans="1:28">
      <c r="A73" s="309"/>
      <c r="B73" s="79">
        <v>100000000</v>
      </c>
      <c r="C73" s="80" t="str">
        <f t="shared" si="91"/>
        <v>Linear</v>
      </c>
      <c r="D73" s="80" t="s">
        <v>24</v>
      </c>
      <c r="E73" s="80">
        <v>3</v>
      </c>
      <c r="F73" s="80" t="s">
        <v>27</v>
      </c>
      <c r="G73" s="80"/>
      <c r="H73" s="81">
        <v>0.02</v>
      </c>
      <c r="I73" s="80" t="str">
        <f t="shared" si="92"/>
        <v>USD</v>
      </c>
      <c r="J73" s="80">
        <f t="shared" si="93"/>
        <v>2</v>
      </c>
      <c r="K73" s="82">
        <f t="shared" ca="1" si="97"/>
        <v>41423</v>
      </c>
      <c r="L73" s="82">
        <v>41657</v>
      </c>
      <c r="M73" s="82">
        <f t="shared" ca="1" si="94"/>
        <v>41660</v>
      </c>
      <c r="N73" s="83">
        <f ca="1">IF(F73="Yes",B73*((1+H73)^TimeToMaturity(L73,K73,"30 / 360")-1),-B73*((1+H73)^TimeToMaturity(L73,K73,"30 / 360")-1))</f>
        <v>-1267634.3499181676</v>
      </c>
      <c r="O73" s="82">
        <f t="shared" ca="1" si="95"/>
        <v>41333</v>
      </c>
      <c r="P73" s="84">
        <f t="shared" ca="1" si="96"/>
        <v>232.71425806451612</v>
      </c>
      <c r="Q73" s="82">
        <f t="shared" ca="1" si="13"/>
        <v>41565</v>
      </c>
      <c r="R73" s="85">
        <f t="shared" ca="1" si="62"/>
        <v>233.74961672724231</v>
      </c>
      <c r="S73" s="82">
        <f t="shared" si="63"/>
        <v>41421</v>
      </c>
      <c r="T73" s="86">
        <f t="shared" ca="1" si="64"/>
        <v>0.99920807502353404</v>
      </c>
      <c r="U73" s="87">
        <f t="shared" ca="1" si="83"/>
        <v>-822077.25486979785</v>
      </c>
      <c r="V73" s="183">
        <f ca="1">VLOOKUP(Z73,'MX PV'!$C$2:$G$134,5,FALSE)</f>
        <v>-807396.90920609096</v>
      </c>
      <c r="W73" s="105">
        <f t="shared" ca="1" si="19"/>
        <v>14680.345663706888</v>
      </c>
      <c r="X73" s="178"/>
      <c r="Y73" s="142" t="str">
        <f t="shared" ca="1" si="84"/>
        <v>Fail</v>
      </c>
      <c r="Z73" s="123" t="s">
        <v>188</v>
      </c>
      <c r="AA73" s="299"/>
      <c r="AB73" s="299"/>
    </row>
    <row r="74" spans="1:28">
      <c r="A74" s="309"/>
      <c r="B74" s="79">
        <v>100000000</v>
      </c>
      <c r="C74" s="80" t="str">
        <f t="shared" si="91"/>
        <v>Linear</v>
      </c>
      <c r="D74" s="80" t="s">
        <v>24</v>
      </c>
      <c r="E74" s="80">
        <v>3</v>
      </c>
      <c r="F74" s="80" t="s">
        <v>27</v>
      </c>
      <c r="G74" s="80"/>
      <c r="H74" s="81">
        <v>0.02</v>
      </c>
      <c r="I74" s="80" t="str">
        <f t="shared" si="92"/>
        <v>USD</v>
      </c>
      <c r="J74" s="80">
        <f t="shared" si="93"/>
        <v>2</v>
      </c>
      <c r="K74" s="82">
        <f t="shared" ca="1" si="97"/>
        <v>41423</v>
      </c>
      <c r="L74" s="82">
        <v>41658</v>
      </c>
      <c r="M74" s="82">
        <f t="shared" ca="1" si="94"/>
        <v>41660</v>
      </c>
      <c r="N74" s="83">
        <f ca="1">IF(F74="Yes",B74*((1+H74)^TimeToMaturity(L74,K74,"30 / 360")-1),-B74*((1+H74)^TimeToMaturity(L74,K74,"30 / 360")-1))</f>
        <v>-1273204.9620739261</v>
      </c>
      <c r="O74" s="82">
        <f t="shared" ca="1" si="95"/>
        <v>41333</v>
      </c>
      <c r="P74" s="84">
        <f t="shared" ca="1" si="96"/>
        <v>232.71425806451612</v>
      </c>
      <c r="Q74" s="82">
        <f t="shared" ca="1" si="13"/>
        <v>41566</v>
      </c>
      <c r="R74" s="85">
        <f t="shared" ref="R74:R105" ca="1" si="98">GetCPI(L74,$B$2,C74,E74,INDIRECT(D74&amp;"_LastDate"),INDIRECT(D74&amp;"_LastCPI"),INDIRECT(D74&amp;"_RefDate"),INDIRECT(D74&amp;"_RefCPI"),INDIRECT(D74&amp;"_INFDates"),INDIRECT(D74&amp;"_CPIs"),INDIRECT(D74&amp;"_Seaso"),INDIRECT(D74&amp;"_Fixings"),INDIRECT(I74&amp;"Hols"))</f>
        <v>233.76101350513292</v>
      </c>
      <c r="S74" s="82">
        <f t="shared" ref="S74:S105" si="99">$B$2</f>
        <v>41421</v>
      </c>
      <c r="T74" s="86">
        <f t="shared" ref="T74:T105" ca="1" si="100">GetDF(M74,$B$2,INDIRECT(I74&amp;"_Disc"))/GetDF(S74,$B$2,INDIRECT(I74&amp;"_Disc"))</f>
        <v>0.99920807502353404</v>
      </c>
      <c r="U74" s="87">
        <f t="shared" ca="1" si="83"/>
        <v>-822750.0069640656</v>
      </c>
      <c r="V74" s="183">
        <f ca="1">VLOOKUP(Z74,'MX PV'!$C$2:$G$134,5,FALSE)</f>
        <v>-812963.10985495104</v>
      </c>
      <c r="W74" s="105">
        <f t="shared" ca="1" si="19"/>
        <v>9786.897109114565</v>
      </c>
      <c r="X74" s="178"/>
      <c r="Y74" s="142" t="str">
        <f t="shared" ca="1" si="84"/>
        <v>Fail</v>
      </c>
      <c r="Z74" s="123" t="s">
        <v>189</v>
      </c>
      <c r="AA74" s="299"/>
      <c r="AB74" s="299"/>
    </row>
    <row r="75" spans="1:28">
      <c r="A75" s="309"/>
      <c r="B75" s="79">
        <v>100000000</v>
      </c>
      <c r="C75" s="80" t="str">
        <f t="shared" si="91"/>
        <v>Linear</v>
      </c>
      <c r="D75" s="80" t="s">
        <v>24</v>
      </c>
      <c r="E75" s="80">
        <v>3</v>
      </c>
      <c r="F75" s="80" t="s">
        <v>27</v>
      </c>
      <c r="G75" s="80"/>
      <c r="H75" s="81">
        <v>0.02</v>
      </c>
      <c r="I75" s="80" t="str">
        <f t="shared" si="92"/>
        <v>USD</v>
      </c>
      <c r="J75" s="80">
        <f t="shared" si="93"/>
        <v>2</v>
      </c>
      <c r="K75" s="82">
        <f t="shared" ca="1" si="97"/>
        <v>41423</v>
      </c>
      <c r="L75" s="82">
        <v>41659</v>
      </c>
      <c r="M75" s="82">
        <f t="shared" ca="1" si="94"/>
        <v>41660</v>
      </c>
      <c r="N75" s="83">
        <f ca="1">IF(F75="Yes",B75*((1+H75)^TimeToMaturity(L75,K75,"30 / 360")-1),-B75*((1+H75)^TimeToMaturity(L75,K75,"30 / 360")-1))</f>
        <v>-1278775.8806624084</v>
      </c>
      <c r="O75" s="82">
        <f t="shared" ca="1" si="95"/>
        <v>41333</v>
      </c>
      <c r="P75" s="84">
        <f t="shared" ca="1" si="96"/>
        <v>232.71425806451612</v>
      </c>
      <c r="Q75" s="82">
        <f t="shared" ref="Q75:Q138" ca="1" si="101">GetCPIDateModFol(L75,E75,C75,INDIRECT(I75&amp;"Hols"))</f>
        <v>41567</v>
      </c>
      <c r="R75" s="85">
        <f t="shared" ca="1" si="98"/>
        <v>233.7724102830235</v>
      </c>
      <c r="S75" s="82">
        <f t="shared" si="99"/>
        <v>41421</v>
      </c>
      <c r="T75" s="86">
        <f t="shared" ca="1" si="100"/>
        <v>0.99920807502353404</v>
      </c>
      <c r="U75" s="87">
        <f t="shared" ca="1" si="83"/>
        <v>-823423.06524842954</v>
      </c>
      <c r="V75" s="183">
        <f ca="1">VLOOKUP(Z75,'MX PV'!$C$2:$G$134,5,FALSE)</f>
        <v>-818529.61669385899</v>
      </c>
      <c r="W75" s="105">
        <f t="shared" ca="1" si="19"/>
        <v>4893.4485545705538</v>
      </c>
      <c r="X75" s="178"/>
      <c r="Y75" s="142" t="str">
        <f t="shared" ca="1" si="84"/>
        <v>Fail</v>
      </c>
      <c r="Z75" s="123" t="s">
        <v>190</v>
      </c>
      <c r="AA75" s="299"/>
      <c r="AB75" s="299"/>
    </row>
    <row r="76" spans="1:28">
      <c r="A76" s="309"/>
      <c r="B76" s="79">
        <v>100000000</v>
      </c>
      <c r="C76" s="80" t="str">
        <f t="shared" si="91"/>
        <v>Linear</v>
      </c>
      <c r="D76" s="80" t="s">
        <v>24</v>
      </c>
      <c r="E76" s="80">
        <v>3</v>
      </c>
      <c r="F76" s="80" t="s">
        <v>27</v>
      </c>
      <c r="G76" s="80"/>
      <c r="H76" s="81">
        <v>0.02</v>
      </c>
      <c r="I76" s="80" t="str">
        <f t="shared" si="92"/>
        <v>USD</v>
      </c>
      <c r="J76" s="80">
        <f t="shared" si="93"/>
        <v>2</v>
      </c>
      <c r="K76" s="82">
        <f t="shared" ca="1" si="97"/>
        <v>41423</v>
      </c>
      <c r="L76" s="82">
        <v>41660</v>
      </c>
      <c r="M76" s="82">
        <f t="shared" ca="1" si="94"/>
        <v>41660</v>
      </c>
      <c r="N76" s="83">
        <f ca="1">IF(F76="Yes",B76*((1+H76)^TimeToMaturity(L76,K76,"30 / 360")-1),-B76*((1+H76)^TimeToMaturity(L76,K76,"30 / 360")-1))</f>
        <v>-1284347.1057005341</v>
      </c>
      <c r="O76" s="82">
        <f t="shared" ca="1" si="95"/>
        <v>41333</v>
      </c>
      <c r="P76" s="84">
        <f t="shared" ca="1" si="96"/>
        <v>232.71425806451612</v>
      </c>
      <c r="Q76" s="82">
        <f t="shared" ca="1" si="101"/>
        <v>41568</v>
      </c>
      <c r="R76" s="85">
        <f t="shared" ca="1" si="98"/>
        <v>233.78380706091411</v>
      </c>
      <c r="S76" s="82">
        <f t="shared" si="99"/>
        <v>41421</v>
      </c>
      <c r="T76" s="86">
        <f t="shared" ca="1" si="100"/>
        <v>0.99920807502353404</v>
      </c>
      <c r="U76" s="87">
        <f t="shared" ca="1" si="83"/>
        <v>-824096.42973970727</v>
      </c>
      <c r="V76" s="183">
        <f ca="1">VLOOKUP(Z76,'MX PV'!$C$2:$G$134,5,FALSE)</f>
        <v>-824096.42973972205</v>
      </c>
      <c r="W76" s="105">
        <f t="shared" ref="W76:W139" ca="1" si="102">V76-U76</f>
        <v>-1.4784745872020721E-8</v>
      </c>
      <c r="X76" s="178"/>
      <c r="Y76" s="142" t="str">
        <f t="shared" ca="1" si="84"/>
        <v>Pass</v>
      </c>
      <c r="Z76" s="123" t="s">
        <v>191</v>
      </c>
      <c r="AA76" s="299"/>
      <c r="AB76" s="299"/>
    </row>
    <row r="77" spans="1:28">
      <c r="A77" s="309"/>
      <c r="B77" s="79">
        <v>100000000</v>
      </c>
      <c r="C77" s="80" t="str">
        <f t="shared" si="91"/>
        <v>Linear</v>
      </c>
      <c r="D77" s="80" t="s">
        <v>24</v>
      </c>
      <c r="E77" s="80">
        <v>3</v>
      </c>
      <c r="F77" s="80" t="s">
        <v>27</v>
      </c>
      <c r="G77" s="80"/>
      <c r="H77" s="81">
        <v>0.02</v>
      </c>
      <c r="I77" s="80" t="str">
        <f t="shared" si="92"/>
        <v>USD</v>
      </c>
      <c r="J77" s="80">
        <f t="shared" si="93"/>
        <v>2</v>
      </c>
      <c r="K77" s="82">
        <f t="shared" ca="1" si="97"/>
        <v>41423</v>
      </c>
      <c r="L77" s="82">
        <v>41661</v>
      </c>
      <c r="M77" s="82">
        <f t="shared" ca="1" si="94"/>
        <v>41661</v>
      </c>
      <c r="N77" s="83">
        <f ca="1">IF(F77="Yes",B77*((1+H77)^TimeToMaturity(L77,K77,"30 / 360")-1),-B77*((1+H77)^TimeToMaturity(L77,K77,"30 / 360")-1))</f>
        <v>-1289918.6372050897</v>
      </c>
      <c r="O77" s="82">
        <f t="shared" ca="1" si="95"/>
        <v>41333</v>
      </c>
      <c r="P77" s="84">
        <f t="shared" ca="1" si="96"/>
        <v>232.71425806451612</v>
      </c>
      <c r="Q77" s="82">
        <f t="shared" ca="1" si="101"/>
        <v>41569</v>
      </c>
      <c r="R77" s="85">
        <f t="shared" ca="1" si="98"/>
        <v>233.79520383880472</v>
      </c>
      <c r="S77" s="82">
        <f t="shared" si="99"/>
        <v>41421</v>
      </c>
      <c r="T77" s="86">
        <f t="shared" ca="1" si="100"/>
        <v>0.99920450084581269</v>
      </c>
      <c r="U77" s="87">
        <f t="shared" ca="1" si="83"/>
        <v>-824767.15024347464</v>
      </c>
      <c r="V77" s="183">
        <f ca="1">VLOOKUP(Z77,'MX PV'!$C$2:$G$134,5,FALSE)</f>
        <v>-824767.15024348698</v>
      </c>
      <c r="W77" s="105">
        <f t="shared" ca="1" si="102"/>
        <v>-1.234002411365509E-8</v>
      </c>
      <c r="X77" s="178"/>
      <c r="Y77" s="142" t="str">
        <f t="shared" ca="1" si="84"/>
        <v>Pass</v>
      </c>
      <c r="Z77" s="123" t="s">
        <v>192</v>
      </c>
      <c r="AA77" s="299"/>
      <c r="AB77" s="299"/>
    </row>
    <row r="78" spans="1:28">
      <c r="A78" s="309"/>
      <c r="B78" s="79">
        <v>100000000</v>
      </c>
      <c r="C78" s="80" t="str">
        <f t="shared" si="91"/>
        <v>Linear</v>
      </c>
      <c r="D78" s="80" t="s">
        <v>24</v>
      </c>
      <c r="E78" s="80">
        <v>3</v>
      </c>
      <c r="F78" s="80" t="s">
        <v>27</v>
      </c>
      <c r="G78" s="80"/>
      <c r="H78" s="81">
        <v>0.02</v>
      </c>
      <c r="I78" s="80" t="str">
        <f t="shared" si="92"/>
        <v>USD</v>
      </c>
      <c r="J78" s="80">
        <f t="shared" si="93"/>
        <v>2</v>
      </c>
      <c r="K78" s="82">
        <f t="shared" ca="1" si="97"/>
        <v>41423</v>
      </c>
      <c r="L78" s="82">
        <v>41662</v>
      </c>
      <c r="M78" s="82">
        <f t="shared" ca="1" si="94"/>
        <v>41662</v>
      </c>
      <c r="N78" s="83">
        <f ca="1">IF(F78="Yes",B78*((1+H78)^TimeToMaturity(L78,K78,"30 / 360")-1),-B78*((1+H78)^TimeToMaturity(L78,K78,"30 / 360")-1))</f>
        <v>-1295490.4751929953</v>
      </c>
      <c r="O78" s="82">
        <f t="shared" ca="1" si="95"/>
        <v>41333</v>
      </c>
      <c r="P78" s="84">
        <f t="shared" ca="1" si="96"/>
        <v>232.71425806451612</v>
      </c>
      <c r="Q78" s="82">
        <f t="shared" ca="1" si="101"/>
        <v>41570</v>
      </c>
      <c r="R78" s="85">
        <f t="shared" ca="1" si="98"/>
        <v>233.80660061669533</v>
      </c>
      <c r="S78" s="82">
        <f t="shared" si="99"/>
        <v>41421</v>
      </c>
      <c r="T78" s="86">
        <f t="shared" ca="1" si="100"/>
        <v>0.99920092449753473</v>
      </c>
      <c r="U78" s="87">
        <f t="shared" ca="1" si="83"/>
        <v>-825438.17037314165</v>
      </c>
      <c r="V78" s="183">
        <f ca="1">VLOOKUP(Z78,'MX PV'!$C$2:$G$134,5,FALSE)</f>
        <v>-825438.17037315306</v>
      </c>
      <c r="W78" s="105">
        <f t="shared" ca="1" si="102"/>
        <v>-1.1408701539039612E-8</v>
      </c>
      <c r="X78" s="178"/>
      <c r="Y78" s="142" t="str">
        <f t="shared" ca="1" si="84"/>
        <v>Pass</v>
      </c>
      <c r="Z78" s="123" t="s">
        <v>193</v>
      </c>
      <c r="AA78" s="299"/>
      <c r="AB78" s="299"/>
    </row>
    <row r="79" spans="1:28">
      <c r="A79" s="309"/>
      <c r="B79" s="79">
        <v>100000000</v>
      </c>
      <c r="C79" s="80" t="str">
        <f t="shared" si="91"/>
        <v>Linear</v>
      </c>
      <c r="D79" s="80" t="s">
        <v>24</v>
      </c>
      <c r="E79" s="80">
        <v>3</v>
      </c>
      <c r="F79" s="80" t="s">
        <v>27</v>
      </c>
      <c r="G79" s="80"/>
      <c r="H79" s="81">
        <v>0.02</v>
      </c>
      <c r="I79" s="80" t="str">
        <f t="shared" si="92"/>
        <v>USD</v>
      </c>
      <c r="J79" s="80">
        <f t="shared" si="93"/>
        <v>2</v>
      </c>
      <c r="K79" s="82">
        <f t="shared" ca="1" si="97"/>
        <v>41423</v>
      </c>
      <c r="L79" s="82">
        <v>41663</v>
      </c>
      <c r="M79" s="82">
        <f t="shared" ca="1" si="94"/>
        <v>41663</v>
      </c>
      <c r="N79" s="83">
        <f ca="1">IF(F79="Yes",B79*((1+H79)^TimeToMaturity(L79,K79,"30 / 360")-1),-B79*((1+H79)^TimeToMaturity(L79,K79,"30 / 360")-1))</f>
        <v>-1301062.6196810815</v>
      </c>
      <c r="O79" s="82">
        <f t="shared" ca="1" si="95"/>
        <v>41333</v>
      </c>
      <c r="P79" s="84">
        <f t="shared" ca="1" si="96"/>
        <v>232.71425806451612</v>
      </c>
      <c r="Q79" s="82">
        <f t="shared" ca="1" si="101"/>
        <v>41571</v>
      </c>
      <c r="R79" s="85">
        <f t="shared" ca="1" si="98"/>
        <v>233.81799739458592</v>
      </c>
      <c r="S79" s="82">
        <f t="shared" si="99"/>
        <v>41421</v>
      </c>
      <c r="T79" s="86">
        <f t="shared" ca="1" si="100"/>
        <v>0.99919734597872356</v>
      </c>
      <c r="U79" s="87">
        <f t="shared" ref="U79:U139" ca="1" si="103">IF(F79="Yes",(-(R79/P79-1)*B79+N79)*T79,((R79/P79-1)*B79+N79)*T79)</f>
        <v>-826109.4901378646</v>
      </c>
      <c r="V79" s="183">
        <f ca="1">VLOOKUP(Z79,'MX PV'!$C$2:$G$134,5,FALSE)</f>
        <v>-826109.49013786297</v>
      </c>
      <c r="W79" s="105">
        <f t="shared" ca="1" si="102"/>
        <v>1.6298145055770874E-9</v>
      </c>
      <c r="X79" s="178"/>
      <c r="Y79" s="142" t="str">
        <f t="shared" ca="1" si="84"/>
        <v>Pass</v>
      </c>
      <c r="Z79" s="123" t="s">
        <v>194</v>
      </c>
      <c r="AA79" s="299"/>
      <c r="AB79" s="299"/>
    </row>
    <row r="80" spans="1:28">
      <c r="A80" s="309"/>
      <c r="B80" s="79">
        <v>100000000</v>
      </c>
      <c r="C80" s="80" t="str">
        <f t="shared" si="91"/>
        <v>Linear</v>
      </c>
      <c r="D80" s="80" t="s">
        <v>24</v>
      </c>
      <c r="E80" s="80">
        <v>3</v>
      </c>
      <c r="F80" s="80" t="s">
        <v>27</v>
      </c>
      <c r="G80" s="80"/>
      <c r="H80" s="81">
        <v>0.02</v>
      </c>
      <c r="I80" s="80" t="str">
        <f t="shared" si="92"/>
        <v>USD</v>
      </c>
      <c r="J80" s="80">
        <f t="shared" si="93"/>
        <v>2</v>
      </c>
      <c r="K80" s="82">
        <f t="shared" ca="1" si="97"/>
        <v>41423</v>
      </c>
      <c r="L80" s="82">
        <v>41664</v>
      </c>
      <c r="M80" s="82">
        <f t="shared" ca="1" si="94"/>
        <v>41666</v>
      </c>
      <c r="N80" s="83">
        <f ca="1">IF(F80="Yes",B80*((1+H80)^TimeToMaturity(L80,K80,"30 / 360")-1),-B80*((1+H80)^TimeToMaturity(L80,K80,"30 / 360")-1))</f>
        <v>-1306635.0706862018</v>
      </c>
      <c r="O80" s="82">
        <f t="shared" ca="1" si="95"/>
        <v>41333</v>
      </c>
      <c r="P80" s="84">
        <f t="shared" ca="1" si="96"/>
        <v>232.71425806451612</v>
      </c>
      <c r="Q80" s="82">
        <f t="shared" ca="1" si="101"/>
        <v>41572</v>
      </c>
      <c r="R80" s="85">
        <f t="shared" ca="1" si="98"/>
        <v>233.82939417247653</v>
      </c>
      <c r="S80" s="82">
        <f t="shared" si="99"/>
        <v>41421</v>
      </c>
      <c r="T80" s="86">
        <f t="shared" ca="1" si="100"/>
        <v>0.99918588961935206</v>
      </c>
      <c r="U80" s="87">
        <f t="shared" ca="1" si="103"/>
        <v>-826774.59283759817</v>
      </c>
      <c r="V80" s="183">
        <f ca="1">VLOOKUP(Z80,'MX PV'!$C$2:$G$134,5,FALSE)</f>
        <v>-816987.91302680504</v>
      </c>
      <c r="W80" s="105">
        <f t="shared" ca="1" si="102"/>
        <v>9786.679810793139</v>
      </c>
      <c r="X80" s="178"/>
      <c r="Y80" s="142" t="str">
        <f t="shared" ca="1" si="84"/>
        <v>Fail</v>
      </c>
      <c r="Z80" s="123" t="s">
        <v>195</v>
      </c>
      <c r="AA80" s="299"/>
      <c r="AB80" s="299"/>
    </row>
    <row r="81" spans="1:28">
      <c r="A81" s="309"/>
      <c r="B81" s="79">
        <v>100000000</v>
      </c>
      <c r="C81" s="80" t="str">
        <f t="shared" si="91"/>
        <v>Linear</v>
      </c>
      <c r="D81" s="80" t="s">
        <v>24</v>
      </c>
      <c r="E81" s="80">
        <v>3</v>
      </c>
      <c r="F81" s="80" t="s">
        <v>27</v>
      </c>
      <c r="G81" s="80"/>
      <c r="H81" s="81">
        <v>0.02</v>
      </c>
      <c r="I81" s="80" t="str">
        <f t="shared" si="92"/>
        <v>USD</v>
      </c>
      <c r="J81" s="80">
        <f t="shared" si="93"/>
        <v>2</v>
      </c>
      <c r="K81" s="82">
        <f t="shared" ca="1" si="97"/>
        <v>41423</v>
      </c>
      <c r="L81" s="82">
        <v>41665</v>
      </c>
      <c r="M81" s="82">
        <f t="shared" ca="1" si="94"/>
        <v>41666</v>
      </c>
      <c r="N81" s="83">
        <f ca="1">IF(F81="Yes",B81*((1+H81)^TimeToMaturity(L81,K81,"30 / 360")-1),-B81*((1+H81)^TimeToMaturity(L81,K81,"30 / 360")-1))</f>
        <v>-1312207.8282252315</v>
      </c>
      <c r="O81" s="82">
        <f t="shared" ca="1" si="95"/>
        <v>41333</v>
      </c>
      <c r="P81" s="84">
        <f t="shared" ca="1" si="96"/>
        <v>232.71425806451612</v>
      </c>
      <c r="Q81" s="82">
        <f t="shared" ca="1" si="101"/>
        <v>41573</v>
      </c>
      <c r="R81" s="85">
        <f t="shared" ca="1" si="98"/>
        <v>233.84079095036714</v>
      </c>
      <c r="S81" s="82">
        <f t="shared" si="99"/>
        <v>41421</v>
      </c>
      <c r="T81" s="86">
        <f t="shared" ca="1" si="100"/>
        <v>0.99918588961935206</v>
      </c>
      <c r="U81" s="87">
        <f t="shared" ca="1" si="103"/>
        <v>-827449.47363145195</v>
      </c>
      <c r="V81" s="183">
        <f ca="1">VLOOKUP(Z81,'MX PV'!$C$2:$G$134,5,FALSE)</f>
        <v>-822556.13372607401</v>
      </c>
      <c r="W81" s="105">
        <f t="shared" ca="1" si="102"/>
        <v>4893.3399053779431</v>
      </c>
      <c r="X81" s="178"/>
      <c r="Y81" s="142" t="str">
        <f t="shared" ca="1" si="84"/>
        <v>Fail</v>
      </c>
      <c r="Z81" s="123" t="s">
        <v>196</v>
      </c>
      <c r="AA81" s="299"/>
      <c r="AB81" s="299"/>
    </row>
    <row r="82" spans="1:28">
      <c r="A82" s="309"/>
      <c r="B82" s="79">
        <v>100000000</v>
      </c>
      <c r="C82" s="80" t="str">
        <f t="shared" si="91"/>
        <v>Linear</v>
      </c>
      <c r="D82" s="80" t="s">
        <v>24</v>
      </c>
      <c r="E82" s="80">
        <v>3</v>
      </c>
      <c r="F82" s="80" t="s">
        <v>27</v>
      </c>
      <c r="G82" s="80"/>
      <c r="H82" s="81">
        <v>0.02</v>
      </c>
      <c r="I82" s="80" t="str">
        <f t="shared" si="92"/>
        <v>USD</v>
      </c>
      <c r="J82" s="80">
        <f t="shared" si="93"/>
        <v>2</v>
      </c>
      <c r="K82" s="82">
        <f t="shared" ca="1" si="97"/>
        <v>41423</v>
      </c>
      <c r="L82" s="82">
        <v>41666</v>
      </c>
      <c r="M82" s="82">
        <f t="shared" ca="1" si="94"/>
        <v>41666</v>
      </c>
      <c r="N82" s="83">
        <f ca="1">IF(F82="Yes",B82*((1+H82)^TimeToMaturity(L82,K82,"30 / 360")-1),-B82*((1+H82)^TimeToMaturity(L82,K82,"30 / 360")-1))</f>
        <v>-1317780.8923150236</v>
      </c>
      <c r="O82" s="82">
        <f t="shared" ca="1" si="95"/>
        <v>41333</v>
      </c>
      <c r="P82" s="84">
        <f t="shared" ca="1" si="96"/>
        <v>232.71425806451612</v>
      </c>
      <c r="Q82" s="82">
        <f t="shared" ca="1" si="101"/>
        <v>41574</v>
      </c>
      <c r="R82" s="85">
        <f t="shared" ca="1" si="98"/>
        <v>233.85218772825772</v>
      </c>
      <c r="S82" s="82">
        <f t="shared" si="99"/>
        <v>41421</v>
      </c>
      <c r="T82" s="86">
        <f t="shared" ca="1" si="100"/>
        <v>0.99918588961935206</v>
      </c>
      <c r="U82" s="87">
        <f t="shared" ca="1" si="103"/>
        <v>-828124.66072654631</v>
      </c>
      <c r="V82" s="183">
        <f ca="1">VLOOKUP(Z82,'MX PV'!$C$2:$G$134,5,FALSE)</f>
        <v>-828124.66072653595</v>
      </c>
      <c r="W82" s="105">
        <f t="shared" ca="1" si="102"/>
        <v>1.0360963642597198E-8</v>
      </c>
      <c r="X82" s="178"/>
      <c r="Y82" s="142" t="str">
        <f t="shared" ca="1" si="84"/>
        <v>Pass</v>
      </c>
      <c r="Z82" s="123" t="s">
        <v>197</v>
      </c>
      <c r="AA82" s="299"/>
      <c r="AB82" s="299"/>
    </row>
    <row r="83" spans="1:28">
      <c r="A83" s="309"/>
      <c r="B83" s="79">
        <v>100000000</v>
      </c>
      <c r="C83" s="80" t="str">
        <f t="shared" si="91"/>
        <v>Linear</v>
      </c>
      <c r="D83" s="80" t="s">
        <v>24</v>
      </c>
      <c r="E83" s="80">
        <v>3</v>
      </c>
      <c r="F83" s="80" t="s">
        <v>27</v>
      </c>
      <c r="G83" s="80"/>
      <c r="H83" s="81">
        <v>0.02</v>
      </c>
      <c r="I83" s="80" t="str">
        <f t="shared" si="92"/>
        <v>USD</v>
      </c>
      <c r="J83" s="80">
        <f t="shared" si="93"/>
        <v>2</v>
      </c>
      <c r="K83" s="82">
        <f t="shared" ca="1" si="97"/>
        <v>41423</v>
      </c>
      <c r="L83" s="82">
        <v>41667</v>
      </c>
      <c r="M83" s="82">
        <f t="shared" ca="1" si="94"/>
        <v>41667</v>
      </c>
      <c r="N83" s="83">
        <f ca="1">IF(F83="Yes",B83*((1+H83)^TimeToMaturity(L83,K83,"30 / 360")-1),-B83*((1+H83)^TimeToMaturity(L83,K83,"30 / 360")-1))</f>
        <v>-1323354.2629724315</v>
      </c>
      <c r="O83" s="82">
        <f t="shared" ca="1" si="95"/>
        <v>41333</v>
      </c>
      <c r="P83" s="84">
        <f t="shared" ca="1" si="96"/>
        <v>232.71425806451612</v>
      </c>
      <c r="Q83" s="82">
        <f t="shared" ca="1" si="101"/>
        <v>41575</v>
      </c>
      <c r="R83" s="85">
        <f t="shared" ca="1" si="98"/>
        <v>233.86358450614833</v>
      </c>
      <c r="S83" s="82">
        <f t="shared" si="99"/>
        <v>41421</v>
      </c>
      <c r="T83" s="86">
        <f t="shared" ca="1" si="100"/>
        <v>0.99918194419932727</v>
      </c>
      <c r="U83" s="87">
        <f t="shared" ca="1" si="103"/>
        <v>-828796.88151062629</v>
      </c>
      <c r="V83" s="183">
        <f ca="1">VLOOKUP(Z83,'MX PV'!$C$2:$G$134,5,FALSE)</f>
        <v>-828796.88151063398</v>
      </c>
      <c r="W83" s="105">
        <f t="shared" ca="1" si="102"/>
        <v>-7.6834112405776978E-9</v>
      </c>
      <c r="X83" s="178"/>
      <c r="Y83" s="142" t="str">
        <f t="shared" ca="1" si="84"/>
        <v>Pass</v>
      </c>
      <c r="Z83" s="123" t="s">
        <v>198</v>
      </c>
      <c r="AA83" s="299"/>
      <c r="AB83" s="299"/>
    </row>
    <row r="84" spans="1:28">
      <c r="A84" s="309"/>
      <c r="B84" s="79">
        <v>100000000</v>
      </c>
      <c r="C84" s="80" t="str">
        <f t="shared" si="91"/>
        <v>Linear</v>
      </c>
      <c r="D84" s="80" t="s">
        <v>24</v>
      </c>
      <c r="E84" s="80">
        <v>3</v>
      </c>
      <c r="F84" s="80" t="s">
        <v>27</v>
      </c>
      <c r="G84" s="80"/>
      <c r="H84" s="81">
        <v>0.02</v>
      </c>
      <c r="I84" s="80" t="str">
        <f t="shared" si="92"/>
        <v>USD</v>
      </c>
      <c r="J84" s="80">
        <f t="shared" si="93"/>
        <v>2</v>
      </c>
      <c r="K84" s="82">
        <f t="shared" ca="1" si="97"/>
        <v>41423</v>
      </c>
      <c r="L84" s="82">
        <v>41668</v>
      </c>
      <c r="M84" s="82">
        <f t="shared" ca="1" si="94"/>
        <v>41668</v>
      </c>
      <c r="N84" s="83">
        <f ca="1">IF(F84="Yes",B84*((1+H84)^TimeToMaturity(L84,K84,"30 / 360")-1),-B84*((1+H84)^TimeToMaturity(L84,K84,"30 / 360")-1))</f>
        <v>-1328927.9402143527</v>
      </c>
      <c r="O84" s="82">
        <f t="shared" ca="1" si="95"/>
        <v>41333</v>
      </c>
      <c r="P84" s="84">
        <f t="shared" ca="1" si="96"/>
        <v>232.71425806451612</v>
      </c>
      <c r="Q84" s="82">
        <f t="shared" ca="1" si="101"/>
        <v>41576</v>
      </c>
      <c r="R84" s="85">
        <f t="shared" ca="1" si="98"/>
        <v>233.87498128403894</v>
      </c>
      <c r="S84" s="82">
        <f t="shared" si="99"/>
        <v>41421</v>
      </c>
      <c r="T84" s="86">
        <f t="shared" ca="1" si="100"/>
        <v>0.9991779937227161</v>
      </c>
      <c r="U84" s="87">
        <f t="shared" ca="1" si="103"/>
        <v>-829469.39909494121</v>
      </c>
      <c r="V84" s="183">
        <f ca="1">VLOOKUP(Z84,'MX PV'!$C$2:$G$134,5,FALSE)</f>
        <v>-829469.39909494203</v>
      </c>
      <c r="W84" s="105">
        <f t="shared" ca="1" si="102"/>
        <v>0</v>
      </c>
      <c r="X84" s="178"/>
      <c r="Y84" s="142" t="str">
        <f t="shared" ca="1" si="84"/>
        <v>Pass</v>
      </c>
      <c r="Z84" s="123" t="s">
        <v>199</v>
      </c>
      <c r="AA84" s="299"/>
      <c r="AB84" s="299"/>
    </row>
    <row r="85" spans="1:28">
      <c r="A85" s="309"/>
      <c r="B85" s="79">
        <v>100000000</v>
      </c>
      <c r="C85" s="80" t="str">
        <f t="shared" si="91"/>
        <v>Linear</v>
      </c>
      <c r="D85" s="80" t="s">
        <v>24</v>
      </c>
      <c r="E85" s="80">
        <v>3</v>
      </c>
      <c r="F85" s="80" t="s">
        <v>27</v>
      </c>
      <c r="G85" s="80"/>
      <c r="H85" s="81">
        <v>0.02</v>
      </c>
      <c r="I85" s="80" t="str">
        <f t="shared" si="92"/>
        <v>USD</v>
      </c>
      <c r="J85" s="80">
        <f t="shared" si="93"/>
        <v>2</v>
      </c>
      <c r="K85" s="82">
        <f t="shared" ca="1" si="97"/>
        <v>41423</v>
      </c>
      <c r="L85" s="82">
        <v>41669</v>
      </c>
      <c r="M85" s="82">
        <f t="shared" ca="1" si="94"/>
        <v>41669</v>
      </c>
      <c r="N85" s="83">
        <f ca="1">IF(F85="Yes",B85*((1+H85)^TimeToMaturity(L85,K85,"30 / 360")-1),-B85*((1+H85)^TimeToMaturity(L85,K85,"30 / 360")-1))</f>
        <v>-1334501.9240576182</v>
      </c>
      <c r="O85" s="82">
        <f t="shared" ca="1" si="95"/>
        <v>41333</v>
      </c>
      <c r="P85" s="84">
        <f t="shared" ca="1" si="96"/>
        <v>232.71425806451612</v>
      </c>
      <c r="Q85" s="82">
        <f t="shared" ca="1" si="101"/>
        <v>41577</v>
      </c>
      <c r="R85" s="85">
        <f t="shared" ca="1" si="98"/>
        <v>233.88637806192955</v>
      </c>
      <c r="S85" s="82">
        <f t="shared" si="99"/>
        <v>41421</v>
      </c>
      <c r="T85" s="86">
        <f t="shared" ca="1" si="100"/>
        <v>0.99917403818957862</v>
      </c>
      <c r="U85" s="87">
        <f t="shared" ca="1" si="103"/>
        <v>-830142.21348244243</v>
      </c>
      <c r="V85" s="183">
        <f ca="1">VLOOKUP(Z85,'MX PV'!$C$2:$G$134,5,FALSE)</f>
        <v>-830142.21348245395</v>
      </c>
      <c r="W85" s="105">
        <f t="shared" ca="1" si="102"/>
        <v>-1.1525116860866547E-8</v>
      </c>
      <c r="X85" s="178"/>
      <c r="Y85" s="142" t="str">
        <f t="shared" ca="1" si="84"/>
        <v>Pass</v>
      </c>
      <c r="Z85" s="123" t="s">
        <v>200</v>
      </c>
      <c r="AA85" s="299"/>
      <c r="AB85" s="299"/>
    </row>
    <row r="86" spans="1:28">
      <c r="A86" s="309"/>
      <c r="B86" s="79">
        <v>100000000</v>
      </c>
      <c r="C86" s="80" t="str">
        <f t="shared" si="91"/>
        <v>Linear</v>
      </c>
      <c r="D86" s="80" t="s">
        <v>24</v>
      </c>
      <c r="E86" s="80">
        <v>3</v>
      </c>
      <c r="F86" s="80" t="s">
        <v>27</v>
      </c>
      <c r="G86" s="80"/>
      <c r="H86" s="81">
        <v>0.02</v>
      </c>
      <c r="I86" s="80" t="str">
        <f t="shared" si="92"/>
        <v>USD</v>
      </c>
      <c r="J86" s="80">
        <f t="shared" si="93"/>
        <v>2</v>
      </c>
      <c r="K86" s="82">
        <f t="shared" ca="1" si="97"/>
        <v>41423</v>
      </c>
      <c r="L86" s="82">
        <v>41670</v>
      </c>
      <c r="M86" s="82">
        <f t="shared" ca="1" si="94"/>
        <v>41670</v>
      </c>
      <c r="N86" s="83">
        <f ca="1">IF(F86="Yes",B86*((1+H86)^TimeToMaturity(L86,K86,"30 / 360")-1),-B86*((1+H86)^TimeToMaturity(L86,K86,"30 / 360")-1))</f>
        <v>-1340076.2145191259</v>
      </c>
      <c r="O86" s="82">
        <f t="shared" ca="1" si="95"/>
        <v>41333</v>
      </c>
      <c r="P86" s="84">
        <f t="shared" ca="1" si="96"/>
        <v>232.71425806451612</v>
      </c>
      <c r="Q86" s="82">
        <f t="shared" ca="1" si="101"/>
        <v>41578</v>
      </c>
      <c r="R86" s="85">
        <f t="shared" ca="1" si="98"/>
        <v>233.89777483982013</v>
      </c>
      <c r="S86" s="82">
        <f t="shared" si="99"/>
        <v>41421</v>
      </c>
      <c r="T86" s="86">
        <f t="shared" ca="1" si="100"/>
        <v>0.999170077599975</v>
      </c>
      <c r="U86" s="87">
        <f t="shared" ca="1" si="103"/>
        <v>-830815.32467616105</v>
      </c>
      <c r="V86" s="183">
        <f ca="1">VLOOKUP(Z86,'MX PV'!$C$2:$G$134,5,FALSE)</f>
        <v>-830815.32467616803</v>
      </c>
      <c r="W86" s="105">
        <f t="shared" ca="1" si="102"/>
        <v>-6.9849193096160889E-9</v>
      </c>
      <c r="X86" s="178"/>
      <c r="Y86" s="142" t="str">
        <f t="shared" ref="Y86:Y117" ca="1" si="104">IF(ABS(W86)&lt;$E$2,"Pass","Fail")</f>
        <v>Pass</v>
      </c>
      <c r="Z86" s="123" t="s">
        <v>201</v>
      </c>
      <c r="AA86" s="299"/>
      <c r="AB86" s="299"/>
    </row>
    <row r="87" spans="1:28">
      <c r="A87" s="309"/>
      <c r="B87" s="79">
        <v>100000000</v>
      </c>
      <c r="C87" s="80" t="str">
        <f t="shared" si="91"/>
        <v>Linear</v>
      </c>
      <c r="D87" s="80" t="s">
        <v>24</v>
      </c>
      <c r="E87" s="80">
        <v>3</v>
      </c>
      <c r="F87" s="80" t="s">
        <v>27</v>
      </c>
      <c r="G87" s="80"/>
      <c r="H87" s="81">
        <v>0.02</v>
      </c>
      <c r="I87" s="80" t="str">
        <f t="shared" ref="I87:I118" si="105">IF(OR(D87="FR",D87="EUR"),"EUR",IF(D87="GB","GBP","USD"))</f>
        <v>USD</v>
      </c>
      <c r="J87" s="80">
        <f t="shared" si="93"/>
        <v>2</v>
      </c>
      <c r="K87" s="82">
        <f t="shared" ca="1" si="97"/>
        <v>41423</v>
      </c>
      <c r="L87" s="82">
        <v>41671</v>
      </c>
      <c r="M87" s="82">
        <f t="shared" ref="M87:M118" ca="1" si="106">AddTenorToDateAsBDModFol(L87,"0D",INDIRECT(I87&amp;"Hols"))</f>
        <v>41673</v>
      </c>
      <c r="N87" s="83">
        <f ca="1">IF(F87="Yes",B87*((1+H87)^TimeToMaturity(L87,K87,"30 / 360")-1),-B87*((1+H87)^TimeToMaturity(L87,K87,"30 / 360")-1))</f>
        <v>-1340076.2145191259</v>
      </c>
      <c r="O87" s="82">
        <f t="shared" ref="O87:O118" ca="1" si="107">GetCPIDate(K87,E87,C87)</f>
        <v>41333</v>
      </c>
      <c r="P87" s="84">
        <f t="shared" ref="P87" ca="1" si="108">GetReferenceCPI(K87,E87,C87,INDIRECT(D87&amp;"_Fixings"),FALSE)</f>
        <v>232.71425806451612</v>
      </c>
      <c r="Q87" s="82">
        <f t="shared" ca="1" si="101"/>
        <v>41579</v>
      </c>
      <c r="R87" s="85">
        <f t="shared" ca="1" si="98"/>
        <v>233.90917161771074</v>
      </c>
      <c r="S87" s="82">
        <f t="shared" si="99"/>
        <v>41421</v>
      </c>
      <c r="T87" s="86">
        <f t="shared" ca="1" si="100"/>
        <v>0.99915816549297065</v>
      </c>
      <c r="U87" s="87">
        <f t="shared" ca="1" si="103"/>
        <v>-825912.2155634634</v>
      </c>
      <c r="V87" s="183">
        <f ca="1">VLOOKUP(Z87,'MX PV'!$C$2:$G$134,5,FALSE)</f>
        <v>-822045.42004543403</v>
      </c>
      <c r="W87" s="105">
        <f t="shared" ca="1" si="102"/>
        <v>3866.7955180293648</v>
      </c>
      <c r="X87" s="178"/>
      <c r="Y87" s="142" t="str">
        <f t="shared" ca="1" si="104"/>
        <v>Fail</v>
      </c>
      <c r="Z87" s="123" t="s">
        <v>202</v>
      </c>
      <c r="AA87" s="299"/>
      <c r="AB87" s="299"/>
    </row>
    <row r="88" spans="1:28">
      <c r="A88" s="309"/>
      <c r="B88" s="79">
        <v>100000000</v>
      </c>
      <c r="C88" s="80" t="str">
        <f t="shared" ref="C88:C119" si="109">IF(OR(D88="FR",D88="US"),"Linear","Piecewise")</f>
        <v>Linear</v>
      </c>
      <c r="D88" s="80" t="s">
        <v>25</v>
      </c>
      <c r="E88" s="80">
        <v>3</v>
      </c>
      <c r="F88" s="80" t="s">
        <v>27</v>
      </c>
      <c r="G88" s="80"/>
      <c r="H88" s="81">
        <v>0</v>
      </c>
      <c r="I88" s="80" t="str">
        <f t="shared" si="105"/>
        <v>EUR</v>
      </c>
      <c r="J88" s="80">
        <f t="shared" ref="J88:J119" si="110">IF(I88="GBP",0,2)</f>
        <v>2</v>
      </c>
      <c r="K88" s="82">
        <f t="shared" ca="1" si="97"/>
        <v>41423</v>
      </c>
      <c r="L88" s="82">
        <v>42430</v>
      </c>
      <c r="M88" s="82">
        <f t="shared" ca="1" si="106"/>
        <v>42430</v>
      </c>
      <c r="N88" s="83">
        <f ca="1">IF(F88="Yes",B88*((1+H88)^TimeToMaturity(L88,K88,"30 / 360")-1),-B88*((1+H88)^TimeToMaturity(L88,K88,"30 / 360")-1))</f>
        <v>0</v>
      </c>
      <c r="O88" s="82">
        <f t="shared" ca="1" si="107"/>
        <v>41333</v>
      </c>
      <c r="P88" s="84">
        <f ca="1">GetReferenceCPI(K88,E88,C88,INDIRECT(D88&amp;"_Fixings"),FALSE)</f>
        <v>125.32903225806452</v>
      </c>
      <c r="Q88" s="82">
        <f t="shared" ca="1" si="101"/>
        <v>42339</v>
      </c>
      <c r="R88" s="85">
        <f t="shared" ca="1" si="98"/>
        <v>130.36298666845903</v>
      </c>
      <c r="S88" s="82">
        <f t="shared" si="99"/>
        <v>41421</v>
      </c>
      <c r="T88" s="86">
        <f t="shared" ca="1" si="100"/>
        <v>0.99378066655851904</v>
      </c>
      <c r="U88" s="87">
        <f t="shared" ca="1" si="103"/>
        <v>3991610.3070884035</v>
      </c>
      <c r="V88" s="183">
        <f ca="1">VLOOKUP(Z88,'MX PV'!$C$2:$G$134,5,FALSE)</f>
        <v>3991610.3070901399</v>
      </c>
      <c r="W88" s="105">
        <f t="shared" ca="1" si="102"/>
        <v>1.7364509403705597E-6</v>
      </c>
      <c r="X88" s="178"/>
      <c r="Y88" s="142" t="str">
        <f t="shared" ca="1" si="104"/>
        <v>Pass</v>
      </c>
      <c r="Z88" s="123" t="s">
        <v>203</v>
      </c>
      <c r="AA88" s="299"/>
      <c r="AB88" s="299"/>
    </row>
    <row r="89" spans="1:28">
      <c r="A89" s="309"/>
      <c r="B89" s="79">
        <v>100000000</v>
      </c>
      <c r="C89" s="80" t="str">
        <f t="shared" si="109"/>
        <v>Linear</v>
      </c>
      <c r="D89" s="80" t="s">
        <v>25</v>
      </c>
      <c r="E89" s="80">
        <v>3</v>
      </c>
      <c r="F89" s="80" t="s">
        <v>27</v>
      </c>
      <c r="G89" s="80"/>
      <c r="H89" s="81">
        <v>0</v>
      </c>
      <c r="I89" s="80" t="str">
        <f t="shared" si="105"/>
        <v>EUR</v>
      </c>
      <c r="J89" s="80">
        <f t="shared" si="110"/>
        <v>2</v>
      </c>
      <c r="K89" s="82">
        <f t="shared" ca="1" si="97"/>
        <v>41423</v>
      </c>
      <c r="L89" s="82">
        <v>42431</v>
      </c>
      <c r="M89" s="82">
        <f t="shared" ca="1" si="106"/>
        <v>42431</v>
      </c>
      <c r="N89" s="83">
        <f ca="1">IF(F89="Yes",B89*((1+H89)^TimeToMaturity(L89,K89,"30 / 360")-1),-B89*((1+H89)^TimeToMaturity(L89,K89,"30 / 360")-1))</f>
        <v>0</v>
      </c>
      <c r="O89" s="82">
        <f t="shared" ca="1" si="107"/>
        <v>41333</v>
      </c>
      <c r="P89" s="84">
        <f t="shared" ref="P89:P119" ca="1" si="111">GetReferenceCPI(K89,E89,C89,INDIRECT(D89&amp;"_Fixings"),FALSE)</f>
        <v>125.32903225806452</v>
      </c>
      <c r="Q89" s="82">
        <f t="shared" ca="1" si="101"/>
        <v>42340</v>
      </c>
      <c r="R89" s="85">
        <f t="shared" ca="1" si="98"/>
        <v>130.34360021692135</v>
      </c>
      <c r="S89" s="82">
        <f t="shared" si="99"/>
        <v>41421</v>
      </c>
      <c r="T89" s="86">
        <f t="shared" ca="1" si="100"/>
        <v>0.99376488019860709</v>
      </c>
      <c r="U89" s="87">
        <f t="shared" ca="1" si="103"/>
        <v>3976174.9030504338</v>
      </c>
      <c r="V89" s="183">
        <f ca="1">VLOOKUP(Z89,'MX PV'!$C$2:$G$134,5,FALSE)</f>
        <v>3976174.9030521601</v>
      </c>
      <c r="W89" s="105">
        <f t="shared" ca="1" si="102"/>
        <v>1.7262063920497894E-6</v>
      </c>
      <c r="X89" s="178"/>
      <c r="Y89" s="142" t="str">
        <f t="shared" ca="1" si="104"/>
        <v>Pass</v>
      </c>
      <c r="Z89" s="123" t="s">
        <v>204</v>
      </c>
      <c r="AA89" s="299"/>
      <c r="AB89" s="299"/>
    </row>
    <row r="90" spans="1:28">
      <c r="A90" s="309"/>
      <c r="B90" s="79">
        <v>100000000</v>
      </c>
      <c r="C90" s="80" t="str">
        <f t="shared" si="109"/>
        <v>Linear</v>
      </c>
      <c r="D90" s="80" t="s">
        <v>25</v>
      </c>
      <c r="E90" s="80">
        <v>3</v>
      </c>
      <c r="F90" s="80" t="s">
        <v>27</v>
      </c>
      <c r="G90" s="80"/>
      <c r="H90" s="81">
        <v>0</v>
      </c>
      <c r="I90" s="80" t="str">
        <f t="shared" si="105"/>
        <v>EUR</v>
      </c>
      <c r="J90" s="80">
        <f t="shared" si="110"/>
        <v>2</v>
      </c>
      <c r="K90" s="82">
        <f t="shared" ca="1" si="97"/>
        <v>41423</v>
      </c>
      <c r="L90" s="82">
        <v>42432</v>
      </c>
      <c r="M90" s="82">
        <f t="shared" ca="1" si="106"/>
        <v>42432</v>
      </c>
      <c r="N90" s="83">
        <f ca="1">IF(F90="Yes",B90*((1+H90)^TimeToMaturity(L90,K90,"30 / 360")-1),-B90*((1+H90)^TimeToMaturity(L90,K90,"30 / 360")-1))</f>
        <v>0</v>
      </c>
      <c r="O90" s="82">
        <f t="shared" ca="1" si="107"/>
        <v>41333</v>
      </c>
      <c r="P90" s="84">
        <f t="shared" ca="1" si="111"/>
        <v>125.32903225806452</v>
      </c>
      <c r="Q90" s="82">
        <f t="shared" ca="1" si="101"/>
        <v>42341</v>
      </c>
      <c r="R90" s="85">
        <f t="shared" ca="1" si="98"/>
        <v>130.32421376538366</v>
      </c>
      <c r="S90" s="82">
        <f t="shared" si="99"/>
        <v>41421</v>
      </c>
      <c r="T90" s="86">
        <f t="shared" ca="1" si="100"/>
        <v>0.99374907499733023</v>
      </c>
      <c r="U90" s="87">
        <f t="shared" ca="1" si="103"/>
        <v>3960739.9122981397</v>
      </c>
      <c r="V90" s="183">
        <f ca="1">VLOOKUP(Z90,'MX PV'!$C$2:$G$134,5,FALSE)</f>
        <v>3960739.91229987</v>
      </c>
      <c r="W90" s="105">
        <f t="shared" ca="1" si="102"/>
        <v>1.7303973436355591E-6</v>
      </c>
      <c r="X90" s="178"/>
      <c r="Y90" s="142" t="str">
        <f t="shared" ca="1" si="104"/>
        <v>Pass</v>
      </c>
      <c r="Z90" s="123" t="s">
        <v>205</v>
      </c>
      <c r="AA90" s="299"/>
      <c r="AB90" s="299"/>
    </row>
    <row r="91" spans="1:28">
      <c r="A91" s="309"/>
      <c r="B91" s="79">
        <v>100000000</v>
      </c>
      <c r="C91" s="80" t="str">
        <f t="shared" si="109"/>
        <v>Linear</v>
      </c>
      <c r="D91" s="80" t="s">
        <v>25</v>
      </c>
      <c r="E91" s="80">
        <v>3</v>
      </c>
      <c r="F91" s="80" t="s">
        <v>27</v>
      </c>
      <c r="G91" s="80"/>
      <c r="H91" s="81">
        <v>0</v>
      </c>
      <c r="I91" s="80" t="str">
        <f t="shared" si="105"/>
        <v>EUR</v>
      </c>
      <c r="J91" s="80">
        <f t="shared" si="110"/>
        <v>2</v>
      </c>
      <c r="K91" s="82">
        <f t="shared" ca="1" si="97"/>
        <v>41423</v>
      </c>
      <c r="L91" s="82">
        <v>42433</v>
      </c>
      <c r="M91" s="82">
        <f t="shared" ca="1" si="106"/>
        <v>42433</v>
      </c>
      <c r="N91" s="83">
        <f ca="1">IF(F91="Yes",B91*((1+H91)^TimeToMaturity(L91,K91,"30 / 360")-1),-B91*((1+H91)^TimeToMaturity(L91,K91,"30 / 360")-1))</f>
        <v>0</v>
      </c>
      <c r="O91" s="82">
        <f t="shared" ca="1" si="107"/>
        <v>41333</v>
      </c>
      <c r="P91" s="84">
        <f t="shared" ca="1" si="111"/>
        <v>125.32903225806452</v>
      </c>
      <c r="Q91" s="82">
        <f t="shared" ca="1" si="101"/>
        <v>42342</v>
      </c>
      <c r="R91" s="85">
        <f t="shared" ca="1" si="98"/>
        <v>130.30482731384595</v>
      </c>
      <c r="S91" s="82">
        <f t="shared" si="99"/>
        <v>41421</v>
      </c>
      <c r="T91" s="86">
        <f t="shared" ca="1" si="100"/>
        <v>0.99373325095559517</v>
      </c>
      <c r="U91" s="87">
        <f t="shared" ca="1" si="103"/>
        <v>3945305.335709461</v>
      </c>
      <c r="V91" s="183">
        <f ca="1">VLOOKUP(Z91,'MX PV'!$C$2:$G$134,5,FALSE)</f>
        <v>3945305.3357112301</v>
      </c>
      <c r="W91" s="105">
        <f t="shared" ca="1" si="102"/>
        <v>1.7690472304821014E-6</v>
      </c>
      <c r="X91" s="178"/>
      <c r="Y91" s="142" t="str">
        <f t="shared" ca="1" si="104"/>
        <v>Pass</v>
      </c>
      <c r="Z91" s="123" t="s">
        <v>206</v>
      </c>
      <c r="AA91" s="299"/>
      <c r="AB91" s="299"/>
    </row>
    <row r="92" spans="1:28">
      <c r="A92" s="309"/>
      <c r="B92" s="79">
        <v>100000000</v>
      </c>
      <c r="C92" s="80" t="str">
        <f t="shared" si="109"/>
        <v>Linear</v>
      </c>
      <c r="D92" s="80" t="s">
        <v>25</v>
      </c>
      <c r="E92" s="80">
        <v>3</v>
      </c>
      <c r="F92" s="80" t="s">
        <v>27</v>
      </c>
      <c r="G92" s="80"/>
      <c r="H92" s="81">
        <v>0</v>
      </c>
      <c r="I92" s="80" t="str">
        <f t="shared" si="105"/>
        <v>EUR</v>
      </c>
      <c r="J92" s="80">
        <f t="shared" si="110"/>
        <v>2</v>
      </c>
      <c r="K92" s="82">
        <f t="shared" ca="1" si="97"/>
        <v>41423</v>
      </c>
      <c r="L92" s="82">
        <v>42434</v>
      </c>
      <c r="M92" s="82">
        <f t="shared" ca="1" si="106"/>
        <v>42436</v>
      </c>
      <c r="N92" s="83">
        <f ca="1">IF(F92="Yes",B92*((1+H92)^TimeToMaturity(L92,K92,"30 / 360")-1),-B92*((1+H92)^TimeToMaturity(L92,K92,"30 / 360")-1))</f>
        <v>0</v>
      </c>
      <c r="O92" s="82">
        <f t="shared" ca="1" si="107"/>
        <v>41333</v>
      </c>
      <c r="P92" s="84">
        <f t="shared" ca="1" si="111"/>
        <v>125.32903225806452</v>
      </c>
      <c r="Q92" s="82">
        <f t="shared" ca="1" si="101"/>
        <v>42343</v>
      </c>
      <c r="R92" s="85">
        <f t="shared" ca="1" si="98"/>
        <v>130.28544086230826</v>
      </c>
      <c r="S92" s="82">
        <f t="shared" si="99"/>
        <v>41421</v>
      </c>
      <c r="T92" s="86">
        <f t="shared" ca="1" si="100"/>
        <v>0.99368566579672735</v>
      </c>
      <c r="U92" s="87">
        <f t="shared" ca="1" si="103"/>
        <v>3929745.642436068</v>
      </c>
      <c r="V92" s="183">
        <f ca="1">VLOOKUP(Z92,'MX PV'!$C$2:$G$134,5,FALSE)</f>
        <v>3899004.0997057399</v>
      </c>
      <c r="W92" s="105">
        <f t="shared" ca="1" si="102"/>
        <v>-30741.542730328161</v>
      </c>
      <c r="X92" s="178"/>
      <c r="Y92" s="142" t="str">
        <f t="shared" ca="1" si="104"/>
        <v>Fail</v>
      </c>
      <c r="Z92" s="123" t="s">
        <v>207</v>
      </c>
      <c r="AA92" s="299"/>
      <c r="AB92" s="299"/>
    </row>
    <row r="93" spans="1:28">
      <c r="A93" s="309"/>
      <c r="B93" s="79">
        <v>100000000</v>
      </c>
      <c r="C93" s="80" t="str">
        <f t="shared" si="109"/>
        <v>Linear</v>
      </c>
      <c r="D93" s="80" t="s">
        <v>25</v>
      </c>
      <c r="E93" s="80">
        <v>3</v>
      </c>
      <c r="F93" s="80" t="s">
        <v>27</v>
      </c>
      <c r="G93" s="80"/>
      <c r="H93" s="81">
        <v>0</v>
      </c>
      <c r="I93" s="80" t="str">
        <f t="shared" si="105"/>
        <v>EUR</v>
      </c>
      <c r="J93" s="80">
        <f t="shared" si="110"/>
        <v>2</v>
      </c>
      <c r="K93" s="82">
        <f t="shared" ca="1" si="97"/>
        <v>41423</v>
      </c>
      <c r="L93" s="82">
        <v>42435</v>
      </c>
      <c r="M93" s="82">
        <f t="shared" ca="1" si="106"/>
        <v>42436</v>
      </c>
      <c r="N93" s="83">
        <f ca="1">IF(F93="Yes",B93*((1+H93)^TimeToMaturity(L93,K93,"30 / 360")-1),-B93*((1+H93)^TimeToMaturity(L93,K93,"30 / 360")-1))</f>
        <v>0</v>
      </c>
      <c r="O93" s="82">
        <f t="shared" ca="1" si="107"/>
        <v>41333</v>
      </c>
      <c r="P93" s="84">
        <f t="shared" ca="1" si="111"/>
        <v>125.32903225806452</v>
      </c>
      <c r="Q93" s="82">
        <f t="shared" ca="1" si="101"/>
        <v>42344</v>
      </c>
      <c r="R93" s="85">
        <f t="shared" ca="1" si="98"/>
        <v>130.26605441077058</v>
      </c>
      <c r="S93" s="82">
        <f t="shared" si="99"/>
        <v>41421</v>
      </c>
      <c r="T93" s="86">
        <f t="shared" ca="1" si="100"/>
        <v>0.99368566579672735</v>
      </c>
      <c r="U93" s="87">
        <f t="shared" ca="1" si="103"/>
        <v>3914374.8710700176</v>
      </c>
      <c r="V93" s="183">
        <f ca="1">VLOOKUP(Z93,'MX PV'!$C$2:$G$134,5,FALSE)</f>
        <v>3899004.0997057399</v>
      </c>
      <c r="W93" s="105">
        <f t="shared" ca="1" si="102"/>
        <v>-15370.771364277694</v>
      </c>
      <c r="X93" s="178"/>
      <c r="Y93" s="142" t="str">
        <f t="shared" ca="1" si="104"/>
        <v>Fail</v>
      </c>
      <c r="Z93" s="123" t="s">
        <v>208</v>
      </c>
      <c r="AA93" s="299"/>
      <c r="AB93" s="299"/>
    </row>
    <row r="94" spans="1:28">
      <c r="A94" s="309"/>
      <c r="B94" s="79">
        <v>100000000</v>
      </c>
      <c r="C94" s="80" t="str">
        <f t="shared" si="109"/>
        <v>Linear</v>
      </c>
      <c r="D94" s="80" t="s">
        <v>25</v>
      </c>
      <c r="E94" s="80">
        <v>3</v>
      </c>
      <c r="F94" s="80" t="s">
        <v>27</v>
      </c>
      <c r="G94" s="80"/>
      <c r="H94" s="81">
        <v>0</v>
      </c>
      <c r="I94" s="80" t="str">
        <f t="shared" si="105"/>
        <v>EUR</v>
      </c>
      <c r="J94" s="80">
        <f t="shared" si="110"/>
        <v>2</v>
      </c>
      <c r="K94" s="82">
        <f t="shared" ref="K94:K119" ca="1" si="112">AddTenorToDateAsBD($B$2,J94&amp;"D",INDIRECT(I94&amp;"Hols"))</f>
        <v>41423</v>
      </c>
      <c r="L94" s="82">
        <v>42436</v>
      </c>
      <c r="M94" s="82">
        <f t="shared" ca="1" si="106"/>
        <v>42436</v>
      </c>
      <c r="N94" s="83">
        <f ca="1">IF(F94="Yes",B94*((1+H94)^TimeToMaturity(L94,K94,"30 / 360")-1),-B94*((1+H94)^TimeToMaturity(L94,K94,"30 / 360")-1))</f>
        <v>0</v>
      </c>
      <c r="O94" s="82">
        <f t="shared" ca="1" si="107"/>
        <v>41333</v>
      </c>
      <c r="P94" s="84">
        <f t="shared" ca="1" si="111"/>
        <v>125.32903225806452</v>
      </c>
      <c r="Q94" s="82">
        <f t="shared" ca="1" si="101"/>
        <v>42345</v>
      </c>
      <c r="R94" s="85">
        <f t="shared" ca="1" si="98"/>
        <v>130.24666795923287</v>
      </c>
      <c r="S94" s="82">
        <f t="shared" si="99"/>
        <v>41421</v>
      </c>
      <c r="T94" s="86">
        <f t="shared" ca="1" si="100"/>
        <v>0.99368566579672735</v>
      </c>
      <c r="U94" s="87">
        <f t="shared" ca="1" si="103"/>
        <v>3899004.0997039666</v>
      </c>
      <c r="V94" s="183">
        <f ca="1">VLOOKUP(Z94,'MX PV'!$C$2:$G$134,5,FALSE)</f>
        <v>3899004.0997057399</v>
      </c>
      <c r="W94" s="105">
        <f t="shared" ca="1" si="102"/>
        <v>1.7732381820678711E-6</v>
      </c>
      <c r="X94" s="178"/>
      <c r="Y94" s="142" t="str">
        <f t="shared" ca="1" si="104"/>
        <v>Pass</v>
      </c>
      <c r="Z94" s="123" t="s">
        <v>209</v>
      </c>
      <c r="AA94" s="299"/>
      <c r="AB94" s="299"/>
    </row>
    <row r="95" spans="1:28">
      <c r="A95" s="309"/>
      <c r="B95" s="79">
        <v>100000000</v>
      </c>
      <c r="C95" s="80" t="str">
        <f t="shared" si="109"/>
        <v>Linear</v>
      </c>
      <c r="D95" s="80" t="s">
        <v>25</v>
      </c>
      <c r="E95" s="80">
        <v>3</v>
      </c>
      <c r="F95" s="80" t="s">
        <v>27</v>
      </c>
      <c r="G95" s="80"/>
      <c r="H95" s="81">
        <v>0</v>
      </c>
      <c r="I95" s="80" t="str">
        <f t="shared" si="105"/>
        <v>EUR</v>
      </c>
      <c r="J95" s="80">
        <f t="shared" si="110"/>
        <v>2</v>
      </c>
      <c r="K95" s="82">
        <f t="shared" ca="1" si="112"/>
        <v>41423</v>
      </c>
      <c r="L95" s="82">
        <v>42437</v>
      </c>
      <c r="M95" s="82">
        <f t="shared" ca="1" si="106"/>
        <v>42437</v>
      </c>
      <c r="N95" s="83">
        <f ca="1">IF(F95="Yes",B95*((1+H95)^TimeToMaturity(L95,K95,"30 / 360")-1),-B95*((1+H95)^TimeToMaturity(L95,K95,"30 / 360")-1))</f>
        <v>0</v>
      </c>
      <c r="O95" s="82">
        <f t="shared" ca="1" si="107"/>
        <v>41333</v>
      </c>
      <c r="P95" s="84">
        <f t="shared" ca="1" si="111"/>
        <v>125.32903225806452</v>
      </c>
      <c r="Q95" s="82">
        <f t="shared" ca="1" si="101"/>
        <v>42346</v>
      </c>
      <c r="R95" s="85">
        <f t="shared" ca="1" si="98"/>
        <v>130.22728150769518</v>
      </c>
      <c r="S95" s="82">
        <f t="shared" si="99"/>
        <v>41421</v>
      </c>
      <c r="T95" s="86">
        <f t="shared" ca="1" si="100"/>
        <v>0.99366976640225113</v>
      </c>
      <c r="U95" s="87">
        <f t="shared" ca="1" si="103"/>
        <v>3883571.1885482282</v>
      </c>
      <c r="V95" s="183">
        <f ca="1">VLOOKUP(Z95,'MX PV'!$C$2:$G$134,5,FALSE)</f>
        <v>3883571.1885500099</v>
      </c>
      <c r="W95" s="105">
        <f t="shared" ca="1" si="102"/>
        <v>1.7816200852394104E-6</v>
      </c>
      <c r="X95" s="178"/>
      <c r="Y95" s="142" t="str">
        <f t="shared" ca="1" si="104"/>
        <v>Pass</v>
      </c>
      <c r="Z95" s="123" t="s">
        <v>210</v>
      </c>
      <c r="AA95" s="299"/>
      <c r="AB95" s="299"/>
    </row>
    <row r="96" spans="1:28">
      <c r="A96" s="309"/>
      <c r="B96" s="79">
        <v>100000000</v>
      </c>
      <c r="C96" s="80" t="str">
        <f t="shared" si="109"/>
        <v>Linear</v>
      </c>
      <c r="D96" s="80" t="s">
        <v>25</v>
      </c>
      <c r="E96" s="80">
        <v>3</v>
      </c>
      <c r="F96" s="80" t="s">
        <v>27</v>
      </c>
      <c r="G96" s="80"/>
      <c r="H96" s="81">
        <v>0</v>
      </c>
      <c r="I96" s="80" t="str">
        <f t="shared" si="105"/>
        <v>EUR</v>
      </c>
      <c r="J96" s="80">
        <f t="shared" si="110"/>
        <v>2</v>
      </c>
      <c r="K96" s="82">
        <f t="shared" ca="1" si="112"/>
        <v>41423</v>
      </c>
      <c r="L96" s="82">
        <v>42438</v>
      </c>
      <c r="M96" s="82">
        <f t="shared" ca="1" si="106"/>
        <v>42438</v>
      </c>
      <c r="N96" s="83">
        <f ca="1">IF(F96="Yes",B96*((1+H96)^TimeToMaturity(L96,K96,"30 / 360")-1),-B96*((1+H96)^TimeToMaturity(L96,K96,"30 / 360")-1))</f>
        <v>0</v>
      </c>
      <c r="O96" s="82">
        <f t="shared" ca="1" si="107"/>
        <v>41333</v>
      </c>
      <c r="P96" s="84">
        <f t="shared" ca="1" si="111"/>
        <v>125.32903225806452</v>
      </c>
      <c r="Q96" s="82">
        <f t="shared" ca="1" si="101"/>
        <v>42347</v>
      </c>
      <c r="R96" s="85">
        <f t="shared" ca="1" si="98"/>
        <v>130.2078950561575</v>
      </c>
      <c r="S96" s="82">
        <f t="shared" si="99"/>
        <v>41421</v>
      </c>
      <c r="T96" s="86">
        <f t="shared" ca="1" si="100"/>
        <v>0.99365384817186764</v>
      </c>
      <c r="U96" s="87">
        <f t="shared" ca="1" si="103"/>
        <v>3868138.6959450506</v>
      </c>
      <c r="V96" s="183">
        <f ca="1">VLOOKUP(Z96,'MX PV'!$C$2:$G$134,5,FALSE)</f>
        <v>3868138.6959468098</v>
      </c>
      <c r="W96" s="105">
        <f t="shared" ca="1" si="102"/>
        <v>1.7592683434486389E-6</v>
      </c>
      <c r="X96" s="178"/>
      <c r="Y96" s="142" t="str">
        <f t="shared" ca="1" si="104"/>
        <v>Pass</v>
      </c>
      <c r="Z96" s="123" t="s">
        <v>211</v>
      </c>
      <c r="AA96" s="299"/>
      <c r="AB96" s="299"/>
    </row>
    <row r="97" spans="1:28">
      <c r="A97" s="309"/>
      <c r="B97" s="79">
        <v>100000000</v>
      </c>
      <c r="C97" s="80" t="str">
        <f t="shared" si="109"/>
        <v>Linear</v>
      </c>
      <c r="D97" s="80" t="s">
        <v>25</v>
      </c>
      <c r="E97" s="80">
        <v>3</v>
      </c>
      <c r="F97" s="80" t="s">
        <v>27</v>
      </c>
      <c r="G97" s="80"/>
      <c r="H97" s="81">
        <v>0</v>
      </c>
      <c r="I97" s="80" t="str">
        <f t="shared" si="105"/>
        <v>EUR</v>
      </c>
      <c r="J97" s="80">
        <f t="shared" si="110"/>
        <v>2</v>
      </c>
      <c r="K97" s="82">
        <f t="shared" ca="1" si="112"/>
        <v>41423</v>
      </c>
      <c r="L97" s="82">
        <v>42439</v>
      </c>
      <c r="M97" s="82">
        <f t="shared" ca="1" si="106"/>
        <v>42439</v>
      </c>
      <c r="N97" s="83">
        <f ca="1">IF(F97="Yes",B97*((1+H97)^TimeToMaturity(L97,K97,"30 / 360")-1),-B97*((1+H97)^TimeToMaturity(L97,K97,"30 / 360")-1))</f>
        <v>0</v>
      </c>
      <c r="O97" s="82">
        <f t="shared" ca="1" si="107"/>
        <v>41333</v>
      </c>
      <c r="P97" s="84">
        <f t="shared" ca="1" si="111"/>
        <v>125.32903225806452</v>
      </c>
      <c r="Q97" s="82">
        <f t="shared" ca="1" si="101"/>
        <v>42348</v>
      </c>
      <c r="R97" s="85">
        <f t="shared" ca="1" si="98"/>
        <v>130.18850860461981</v>
      </c>
      <c r="S97" s="82">
        <f t="shared" si="99"/>
        <v>41421</v>
      </c>
      <c r="T97" s="86">
        <f t="shared" ca="1" si="100"/>
        <v>0.99363791110649025</v>
      </c>
      <c r="U97" s="87">
        <f t="shared" ca="1" si="103"/>
        <v>3852706.6227720836</v>
      </c>
      <c r="V97" s="183">
        <f ca="1">VLOOKUP(Z97,'MX PV'!$C$2:$G$134,5,FALSE)</f>
        <v>3852706.6227738298</v>
      </c>
      <c r="W97" s="105">
        <f t="shared" ca="1" si="102"/>
        <v>1.7462298274040222E-6</v>
      </c>
      <c r="X97" s="178"/>
      <c r="Y97" s="142" t="str">
        <f t="shared" ca="1" si="104"/>
        <v>Pass</v>
      </c>
      <c r="Z97" s="123" t="s">
        <v>212</v>
      </c>
      <c r="AA97" s="299"/>
      <c r="AB97" s="299"/>
    </row>
    <row r="98" spans="1:28">
      <c r="A98" s="309"/>
      <c r="B98" s="79">
        <v>100000000</v>
      </c>
      <c r="C98" s="80" t="str">
        <f t="shared" si="109"/>
        <v>Linear</v>
      </c>
      <c r="D98" s="80" t="s">
        <v>25</v>
      </c>
      <c r="E98" s="80">
        <v>3</v>
      </c>
      <c r="F98" s="80" t="s">
        <v>27</v>
      </c>
      <c r="G98" s="80"/>
      <c r="H98" s="81">
        <v>0</v>
      </c>
      <c r="I98" s="80" t="str">
        <f t="shared" si="105"/>
        <v>EUR</v>
      </c>
      <c r="J98" s="80">
        <f t="shared" si="110"/>
        <v>2</v>
      </c>
      <c r="K98" s="82">
        <f t="shared" ca="1" si="112"/>
        <v>41423</v>
      </c>
      <c r="L98" s="82">
        <v>42440</v>
      </c>
      <c r="M98" s="82">
        <f t="shared" ca="1" si="106"/>
        <v>42440</v>
      </c>
      <c r="N98" s="83">
        <f ca="1">IF(F98="Yes",B98*((1+H98)^TimeToMaturity(L98,K98,"30 / 360")-1),-B98*((1+H98)^TimeToMaturity(L98,K98,"30 / 360")-1))</f>
        <v>0</v>
      </c>
      <c r="O98" s="82">
        <f t="shared" ca="1" si="107"/>
        <v>41333</v>
      </c>
      <c r="P98" s="84">
        <f t="shared" ca="1" si="111"/>
        <v>125.32903225806452</v>
      </c>
      <c r="Q98" s="82">
        <f t="shared" ca="1" si="101"/>
        <v>42349</v>
      </c>
      <c r="R98" s="85">
        <f t="shared" ca="1" si="98"/>
        <v>130.16912215308213</v>
      </c>
      <c r="S98" s="82">
        <f t="shared" si="99"/>
        <v>41421</v>
      </c>
      <c r="T98" s="86">
        <f t="shared" ca="1" si="100"/>
        <v>0.99362195520703367</v>
      </c>
      <c r="U98" s="87">
        <f t="shared" ca="1" si="103"/>
        <v>3837274.9699068596</v>
      </c>
      <c r="V98" s="183">
        <f ca="1">VLOOKUP(Z98,'MX PV'!$C$2:$G$134,5,FALSE)</f>
        <v>3837274.9699086202</v>
      </c>
      <c r="W98" s="105">
        <f t="shared" ca="1" si="102"/>
        <v>1.7606653273105621E-6</v>
      </c>
      <c r="X98" s="178"/>
      <c r="Y98" s="142" t="str">
        <f t="shared" ca="1" si="104"/>
        <v>Pass</v>
      </c>
      <c r="Z98" s="123" t="s">
        <v>213</v>
      </c>
      <c r="AA98" s="299"/>
      <c r="AB98" s="299"/>
    </row>
    <row r="99" spans="1:28">
      <c r="A99" s="309"/>
      <c r="B99" s="79">
        <v>100000000</v>
      </c>
      <c r="C99" s="80" t="str">
        <f t="shared" si="109"/>
        <v>Linear</v>
      </c>
      <c r="D99" s="80" t="s">
        <v>25</v>
      </c>
      <c r="E99" s="80">
        <v>3</v>
      </c>
      <c r="F99" s="80" t="s">
        <v>27</v>
      </c>
      <c r="G99" s="80"/>
      <c r="H99" s="81">
        <v>0</v>
      </c>
      <c r="I99" s="80" t="str">
        <f t="shared" si="105"/>
        <v>EUR</v>
      </c>
      <c r="J99" s="80">
        <f t="shared" si="110"/>
        <v>2</v>
      </c>
      <c r="K99" s="82">
        <f t="shared" ca="1" si="112"/>
        <v>41423</v>
      </c>
      <c r="L99" s="82">
        <v>42441</v>
      </c>
      <c r="M99" s="82">
        <f t="shared" ca="1" si="106"/>
        <v>42443</v>
      </c>
      <c r="N99" s="83">
        <f ca="1">IF(F99="Yes",B99*((1+H99)^TimeToMaturity(L99,K99,"30 / 360")-1),-B99*((1+H99)^TimeToMaturity(L99,K99,"30 / 360")-1))</f>
        <v>0</v>
      </c>
      <c r="O99" s="82">
        <f t="shared" ca="1" si="107"/>
        <v>41333</v>
      </c>
      <c r="P99" s="84">
        <f t="shared" ca="1" si="111"/>
        <v>125.32903225806452</v>
      </c>
      <c r="Q99" s="82">
        <f t="shared" ca="1" si="101"/>
        <v>42350</v>
      </c>
      <c r="R99" s="85">
        <f t="shared" ca="1" si="98"/>
        <v>130.14973570154442</v>
      </c>
      <c r="S99" s="82">
        <f t="shared" si="99"/>
        <v>41421</v>
      </c>
      <c r="T99" s="86">
        <f t="shared" ca="1" si="100"/>
        <v>0.99357397451334817</v>
      </c>
      <c r="U99" s="87">
        <f t="shared" ca="1" si="103"/>
        <v>3821720.6292840349</v>
      </c>
      <c r="V99" s="183">
        <f ca="1">VLOOKUP(Z99,'MX PV'!$C$2:$G$134,5,FALSE)</f>
        <v>3790982.5419345298</v>
      </c>
      <c r="W99" s="105">
        <f t="shared" ca="1" si="102"/>
        <v>-30738.087349505164</v>
      </c>
      <c r="X99" s="178"/>
      <c r="Y99" s="142" t="str">
        <f t="shared" ca="1" si="104"/>
        <v>Fail</v>
      </c>
      <c r="Z99" s="123" t="s">
        <v>214</v>
      </c>
      <c r="AA99" s="299"/>
      <c r="AB99" s="299"/>
    </row>
    <row r="100" spans="1:28">
      <c r="A100" s="309"/>
      <c r="B100" s="79">
        <v>100000000</v>
      </c>
      <c r="C100" s="80" t="str">
        <f t="shared" si="109"/>
        <v>Linear</v>
      </c>
      <c r="D100" s="80" t="s">
        <v>25</v>
      </c>
      <c r="E100" s="80">
        <v>3</v>
      </c>
      <c r="F100" s="80" t="s">
        <v>27</v>
      </c>
      <c r="G100" s="80"/>
      <c r="H100" s="81">
        <v>0</v>
      </c>
      <c r="I100" s="80" t="str">
        <f t="shared" si="105"/>
        <v>EUR</v>
      </c>
      <c r="J100" s="80">
        <f t="shared" si="110"/>
        <v>2</v>
      </c>
      <c r="K100" s="82">
        <f t="shared" ca="1" si="112"/>
        <v>41423</v>
      </c>
      <c r="L100" s="82">
        <v>42442</v>
      </c>
      <c r="M100" s="82">
        <f t="shared" ca="1" si="106"/>
        <v>42443</v>
      </c>
      <c r="N100" s="83">
        <f ca="1">IF(F100="Yes",B100*((1+H100)^TimeToMaturity(L100,K100,"30 / 360")-1),-B100*((1+H100)^TimeToMaturity(L100,K100,"30 / 360")-1))</f>
        <v>0</v>
      </c>
      <c r="O100" s="82">
        <f t="shared" ca="1" si="107"/>
        <v>41333</v>
      </c>
      <c r="P100" s="84">
        <f t="shared" ca="1" si="111"/>
        <v>125.32903225806452</v>
      </c>
      <c r="Q100" s="82">
        <f t="shared" ca="1" si="101"/>
        <v>42351</v>
      </c>
      <c r="R100" s="85">
        <f t="shared" ca="1" si="98"/>
        <v>130.13034925000673</v>
      </c>
      <c r="S100" s="82">
        <f t="shared" si="99"/>
        <v>41421</v>
      </c>
      <c r="T100" s="86">
        <f t="shared" ca="1" si="100"/>
        <v>0.99357397451334817</v>
      </c>
      <c r="U100" s="87">
        <f t="shared" ca="1" si="103"/>
        <v>3806351.5856084013</v>
      </c>
      <c r="V100" s="183">
        <f ca="1">VLOOKUP(Z100,'MX PV'!$C$2:$G$134,5,FALSE)</f>
        <v>3790982.5419345298</v>
      </c>
      <c r="W100" s="105">
        <f t="shared" ca="1" si="102"/>
        <v>-15369.043673871551</v>
      </c>
      <c r="X100" s="178"/>
      <c r="Y100" s="142" t="str">
        <f t="shared" ca="1" si="104"/>
        <v>Fail</v>
      </c>
      <c r="Z100" s="123" t="s">
        <v>215</v>
      </c>
      <c r="AA100" s="299"/>
      <c r="AB100" s="299"/>
    </row>
    <row r="101" spans="1:28">
      <c r="A101" s="309"/>
      <c r="B101" s="79">
        <v>100000000</v>
      </c>
      <c r="C101" s="80" t="str">
        <f t="shared" si="109"/>
        <v>Linear</v>
      </c>
      <c r="D101" s="80" t="s">
        <v>25</v>
      </c>
      <c r="E101" s="80">
        <v>3</v>
      </c>
      <c r="F101" s="80" t="s">
        <v>27</v>
      </c>
      <c r="G101" s="80"/>
      <c r="H101" s="81">
        <v>0</v>
      </c>
      <c r="I101" s="80" t="str">
        <f t="shared" si="105"/>
        <v>EUR</v>
      </c>
      <c r="J101" s="80">
        <f t="shared" si="110"/>
        <v>2</v>
      </c>
      <c r="K101" s="82">
        <f t="shared" ca="1" si="112"/>
        <v>41423</v>
      </c>
      <c r="L101" s="82">
        <v>42443</v>
      </c>
      <c r="M101" s="82">
        <f t="shared" ca="1" si="106"/>
        <v>42443</v>
      </c>
      <c r="N101" s="83">
        <f ca="1">IF(F101="Yes",B101*((1+H101)^TimeToMaturity(L101,K101,"30 / 360")-1),-B101*((1+H101)^TimeToMaturity(L101,K101,"30 / 360")-1))</f>
        <v>0</v>
      </c>
      <c r="O101" s="82">
        <f t="shared" ca="1" si="107"/>
        <v>41333</v>
      </c>
      <c r="P101" s="84">
        <f t="shared" ca="1" si="111"/>
        <v>125.32903225806452</v>
      </c>
      <c r="Q101" s="82">
        <f t="shared" ca="1" si="101"/>
        <v>42352</v>
      </c>
      <c r="R101" s="85">
        <f t="shared" ca="1" si="98"/>
        <v>130.11096279846902</v>
      </c>
      <c r="S101" s="82">
        <f t="shared" si="99"/>
        <v>41421</v>
      </c>
      <c r="T101" s="86">
        <f t="shared" ca="1" si="100"/>
        <v>0.99357397451334817</v>
      </c>
      <c r="U101" s="87">
        <f t="shared" ca="1" si="103"/>
        <v>3790982.5419327235</v>
      </c>
      <c r="V101" s="183">
        <f ca="1">VLOOKUP(Z101,'MX PV'!$C$2:$G$134,5,FALSE)</f>
        <v>3790982.5419345298</v>
      </c>
      <c r="W101" s="105">
        <f t="shared" ca="1" si="102"/>
        <v>1.8063001334667206E-6</v>
      </c>
      <c r="X101" s="178"/>
      <c r="Y101" s="142" t="str">
        <f t="shared" ca="1" si="104"/>
        <v>Pass</v>
      </c>
      <c r="Z101" s="123" t="s">
        <v>216</v>
      </c>
      <c r="AA101" s="299"/>
      <c r="AB101" s="299"/>
    </row>
    <row r="102" spans="1:28">
      <c r="A102" s="309"/>
      <c r="B102" s="79">
        <v>100000000</v>
      </c>
      <c r="C102" s="80" t="str">
        <f t="shared" si="109"/>
        <v>Linear</v>
      </c>
      <c r="D102" s="80" t="s">
        <v>25</v>
      </c>
      <c r="E102" s="80">
        <v>3</v>
      </c>
      <c r="F102" s="80" t="s">
        <v>27</v>
      </c>
      <c r="G102" s="80"/>
      <c r="H102" s="81">
        <v>0</v>
      </c>
      <c r="I102" s="80" t="str">
        <f t="shared" si="105"/>
        <v>EUR</v>
      </c>
      <c r="J102" s="80">
        <f t="shared" si="110"/>
        <v>2</v>
      </c>
      <c r="K102" s="82">
        <f t="shared" ca="1" si="112"/>
        <v>41423</v>
      </c>
      <c r="L102" s="82">
        <v>42444</v>
      </c>
      <c r="M102" s="82">
        <f t="shared" ca="1" si="106"/>
        <v>42444</v>
      </c>
      <c r="N102" s="83">
        <f ca="1">IF(F102="Yes",B102*((1+H102)^TimeToMaturity(L102,K102,"30 / 360")-1),-B102*((1+H102)^TimeToMaturity(L102,K102,"30 / 360")-1))</f>
        <v>0</v>
      </c>
      <c r="O102" s="82">
        <f t="shared" ca="1" si="107"/>
        <v>41333</v>
      </c>
      <c r="P102" s="84">
        <f t="shared" ca="1" si="111"/>
        <v>125.32903225806452</v>
      </c>
      <c r="Q102" s="82">
        <f t="shared" ca="1" si="101"/>
        <v>42353</v>
      </c>
      <c r="R102" s="85">
        <f t="shared" ca="1" si="98"/>
        <v>130.09157634693133</v>
      </c>
      <c r="S102" s="82">
        <f t="shared" si="99"/>
        <v>41421</v>
      </c>
      <c r="T102" s="86">
        <f t="shared" ca="1" si="100"/>
        <v>0.99355794328674008</v>
      </c>
      <c r="U102" s="87">
        <f t="shared" ca="1" si="103"/>
        <v>3775552.5790732871</v>
      </c>
      <c r="V102" s="183">
        <f ca="1">VLOOKUP(Z102,'MX PV'!$C$2:$G$134,5,FALSE)</f>
        <v>3775552.5790750799</v>
      </c>
      <c r="W102" s="105">
        <f t="shared" ca="1" si="102"/>
        <v>1.7927959561347961E-6</v>
      </c>
      <c r="X102" s="178"/>
      <c r="Y102" s="142" t="str">
        <f t="shared" ca="1" si="104"/>
        <v>Pass</v>
      </c>
      <c r="Z102" s="123" t="s">
        <v>217</v>
      </c>
      <c r="AA102" s="299"/>
      <c r="AB102" s="299"/>
    </row>
    <row r="103" spans="1:28">
      <c r="A103" s="309"/>
      <c r="B103" s="79">
        <v>100000000</v>
      </c>
      <c r="C103" s="80" t="str">
        <f t="shared" si="109"/>
        <v>Linear</v>
      </c>
      <c r="D103" s="80" t="s">
        <v>25</v>
      </c>
      <c r="E103" s="80">
        <v>3</v>
      </c>
      <c r="F103" s="80" t="s">
        <v>27</v>
      </c>
      <c r="G103" s="80"/>
      <c r="H103" s="81">
        <v>0</v>
      </c>
      <c r="I103" s="80" t="str">
        <f t="shared" si="105"/>
        <v>EUR</v>
      </c>
      <c r="J103" s="80">
        <f t="shared" si="110"/>
        <v>2</v>
      </c>
      <c r="K103" s="82">
        <f t="shared" ca="1" si="112"/>
        <v>41423</v>
      </c>
      <c r="L103" s="82">
        <v>42445</v>
      </c>
      <c r="M103" s="82">
        <f t="shared" ca="1" si="106"/>
        <v>42445</v>
      </c>
      <c r="N103" s="83">
        <f ca="1">IF(F103="Yes",B103*((1+H103)^TimeToMaturity(L103,K103,"30 / 360")-1),-B103*((1+H103)^TimeToMaturity(L103,K103,"30 / 360")-1))</f>
        <v>0</v>
      </c>
      <c r="O103" s="82">
        <f t="shared" ca="1" si="107"/>
        <v>41333</v>
      </c>
      <c r="P103" s="84">
        <f t="shared" ca="1" si="111"/>
        <v>125.32903225806452</v>
      </c>
      <c r="Q103" s="82">
        <f t="shared" ca="1" si="101"/>
        <v>42354</v>
      </c>
      <c r="R103" s="85">
        <f t="shared" ca="1" si="98"/>
        <v>130.07218989539365</v>
      </c>
      <c r="S103" s="82">
        <f t="shared" si="99"/>
        <v>41421</v>
      </c>
      <c r="T103" s="86">
        <f t="shared" ca="1" si="100"/>
        <v>0.99354189323064102</v>
      </c>
      <c r="U103" s="87">
        <f t="shared" ca="1" si="103"/>
        <v>3760123.0409086831</v>
      </c>
      <c r="V103" s="183">
        <f ca="1">VLOOKUP(Z103,'MX PV'!$C$2:$G$134,5,FALSE)</f>
        <v>3760123.0409104899</v>
      </c>
      <c r="W103" s="105">
        <f t="shared" ca="1" si="102"/>
        <v>1.8067657947540283E-6</v>
      </c>
      <c r="X103" s="178"/>
      <c r="Y103" s="142" t="str">
        <f t="shared" ca="1" si="104"/>
        <v>Pass</v>
      </c>
      <c r="Z103" s="123" t="s">
        <v>218</v>
      </c>
      <c r="AA103" s="299"/>
      <c r="AB103" s="299"/>
    </row>
    <row r="104" spans="1:28">
      <c r="A104" s="309"/>
      <c r="B104" s="79">
        <v>100000000</v>
      </c>
      <c r="C104" s="80" t="str">
        <f t="shared" si="109"/>
        <v>Linear</v>
      </c>
      <c r="D104" s="80" t="s">
        <v>25</v>
      </c>
      <c r="E104" s="80">
        <v>3</v>
      </c>
      <c r="F104" s="80" t="s">
        <v>27</v>
      </c>
      <c r="G104" s="80"/>
      <c r="H104" s="81">
        <v>0</v>
      </c>
      <c r="I104" s="80" t="str">
        <f t="shared" si="105"/>
        <v>EUR</v>
      </c>
      <c r="J104" s="80">
        <f t="shared" si="110"/>
        <v>2</v>
      </c>
      <c r="K104" s="82">
        <f t="shared" ca="1" si="112"/>
        <v>41423</v>
      </c>
      <c r="L104" s="82">
        <v>42446</v>
      </c>
      <c r="M104" s="82">
        <f t="shared" ca="1" si="106"/>
        <v>42446</v>
      </c>
      <c r="N104" s="83">
        <f ca="1">IF(F104="Yes",B104*((1+H104)^TimeToMaturity(L104,K104,"30 / 360")-1),-B104*((1+H104)^TimeToMaturity(L104,K104,"30 / 360")-1))</f>
        <v>0</v>
      </c>
      <c r="O104" s="82">
        <f t="shared" ca="1" si="107"/>
        <v>41333</v>
      </c>
      <c r="P104" s="84">
        <f t="shared" ca="1" si="111"/>
        <v>125.32903225806452</v>
      </c>
      <c r="Q104" s="82">
        <f t="shared" ca="1" si="101"/>
        <v>42355</v>
      </c>
      <c r="R104" s="85">
        <f t="shared" ca="1" si="98"/>
        <v>130.05280344385596</v>
      </c>
      <c r="S104" s="82">
        <f t="shared" si="99"/>
        <v>41421</v>
      </c>
      <c r="T104" s="86">
        <f t="shared" ca="1" si="100"/>
        <v>0.99352582434597181</v>
      </c>
      <c r="U104" s="87">
        <f t="shared" ca="1" si="103"/>
        <v>3744693.9283161932</v>
      </c>
      <c r="V104" s="183">
        <f ca="1">VLOOKUP(Z104,'MX PV'!$C$2:$G$134,5,FALSE)</f>
        <v>3744693.9283180102</v>
      </c>
      <c r="W104" s="105">
        <f t="shared" ca="1" si="102"/>
        <v>1.8170103430747986E-6</v>
      </c>
      <c r="X104" s="178"/>
      <c r="Y104" s="142" t="str">
        <f t="shared" ca="1" si="104"/>
        <v>Pass</v>
      </c>
      <c r="Z104" s="123" t="s">
        <v>219</v>
      </c>
      <c r="AA104" s="299"/>
      <c r="AB104" s="299"/>
    </row>
    <row r="105" spans="1:28">
      <c r="A105" s="309"/>
      <c r="B105" s="79">
        <v>100000000</v>
      </c>
      <c r="C105" s="80" t="str">
        <f t="shared" si="109"/>
        <v>Linear</v>
      </c>
      <c r="D105" s="80" t="s">
        <v>25</v>
      </c>
      <c r="E105" s="80">
        <v>3</v>
      </c>
      <c r="F105" s="80" t="s">
        <v>27</v>
      </c>
      <c r="G105" s="80"/>
      <c r="H105" s="81">
        <v>0</v>
      </c>
      <c r="I105" s="80" t="str">
        <f t="shared" si="105"/>
        <v>EUR</v>
      </c>
      <c r="J105" s="80">
        <f t="shared" si="110"/>
        <v>2</v>
      </c>
      <c r="K105" s="82">
        <f t="shared" ca="1" si="112"/>
        <v>41423</v>
      </c>
      <c r="L105" s="82">
        <v>42447</v>
      </c>
      <c r="M105" s="82">
        <f t="shared" ca="1" si="106"/>
        <v>42447</v>
      </c>
      <c r="N105" s="83">
        <f ca="1">IF(F105="Yes",B105*((1+H105)^TimeToMaturity(L105,K105,"30 / 360")-1),-B105*((1+H105)^TimeToMaturity(L105,K105,"30 / 360")-1))</f>
        <v>0</v>
      </c>
      <c r="O105" s="82">
        <f t="shared" ca="1" si="107"/>
        <v>41333</v>
      </c>
      <c r="P105" s="84">
        <f t="shared" ca="1" si="111"/>
        <v>125.32903225806452</v>
      </c>
      <c r="Q105" s="82">
        <f t="shared" ca="1" si="101"/>
        <v>42356</v>
      </c>
      <c r="R105" s="85">
        <f t="shared" ca="1" si="98"/>
        <v>130.03341699231828</v>
      </c>
      <c r="S105" s="82">
        <f t="shared" si="99"/>
        <v>41421</v>
      </c>
      <c r="T105" s="86">
        <f t="shared" ca="1" si="100"/>
        <v>0.99350973663365449</v>
      </c>
      <c r="U105" s="87">
        <f t="shared" ca="1" si="103"/>
        <v>3729265.2421730468</v>
      </c>
      <c r="V105" s="183">
        <f ca="1">VLOOKUP(Z105,'MX PV'!$C$2:$G$134,5,FALSE)</f>
        <v>3729265.2421748498</v>
      </c>
      <c r="W105" s="105">
        <f t="shared" ca="1" si="102"/>
        <v>1.8030405044555664E-6</v>
      </c>
      <c r="X105" s="178"/>
      <c r="Y105" s="142" t="str">
        <f t="shared" ca="1" si="104"/>
        <v>Pass</v>
      </c>
      <c r="Z105" s="123" t="s">
        <v>220</v>
      </c>
      <c r="AA105" s="299"/>
      <c r="AB105" s="299"/>
    </row>
    <row r="106" spans="1:28">
      <c r="A106" s="309"/>
      <c r="B106" s="79">
        <v>100000000</v>
      </c>
      <c r="C106" s="80" t="str">
        <f t="shared" si="109"/>
        <v>Linear</v>
      </c>
      <c r="D106" s="80" t="s">
        <v>25</v>
      </c>
      <c r="E106" s="80">
        <v>3</v>
      </c>
      <c r="F106" s="80" t="s">
        <v>27</v>
      </c>
      <c r="G106" s="80"/>
      <c r="H106" s="81">
        <v>0</v>
      </c>
      <c r="I106" s="80" t="str">
        <f t="shared" si="105"/>
        <v>EUR</v>
      </c>
      <c r="J106" s="80">
        <f t="shared" si="110"/>
        <v>2</v>
      </c>
      <c r="K106" s="82">
        <f t="shared" ca="1" si="112"/>
        <v>41423</v>
      </c>
      <c r="L106" s="82">
        <v>42448</v>
      </c>
      <c r="M106" s="82">
        <f t="shared" ca="1" si="106"/>
        <v>42450</v>
      </c>
      <c r="N106" s="83">
        <f ca="1">IF(F106="Yes",B106*((1+H106)^TimeToMaturity(L106,K106,"30 / 360")-1),-B106*((1+H106)^TimeToMaturity(L106,K106,"30 / 360")-1))</f>
        <v>0</v>
      </c>
      <c r="O106" s="82">
        <f t="shared" ca="1" si="107"/>
        <v>41333</v>
      </c>
      <c r="P106" s="84">
        <f t="shared" ca="1" si="111"/>
        <v>125.32903225806452</v>
      </c>
      <c r="Q106" s="82">
        <f t="shared" ca="1" si="101"/>
        <v>42357</v>
      </c>
      <c r="R106" s="85">
        <f t="shared" ref="R106:R139" ca="1" si="113">GetCPI(L106,$B$2,C106,E106,INDIRECT(D106&amp;"_LastDate"),INDIRECT(D106&amp;"_LastCPI"),INDIRECT(D106&amp;"_RefDate"),INDIRECT(D106&amp;"_RefCPI"),INDIRECT(D106&amp;"_INFDates"),INDIRECT(D106&amp;"_CPIs"),INDIRECT(D106&amp;"_Seaso"),INDIRECT(D106&amp;"_Fixings"),INDIRECT(I106&amp;"Hols"))</f>
        <v>130.01403054078057</v>
      </c>
      <c r="S106" s="82">
        <f t="shared" ref="S106:S139" si="114">$B$2</f>
        <v>41421</v>
      </c>
      <c r="T106" s="86">
        <f t="shared" ref="T106:T137" ca="1" si="115">GetDF(M106,$B$2,INDIRECT(I106&amp;"_Disc"))/GetDF(S106,$B$2,INDIRECT(I106&amp;"_Disc"))</f>
        <v>0.99346136054004919</v>
      </c>
      <c r="U106" s="87">
        <f t="shared" ca="1" si="103"/>
        <v>3713716.3546360843</v>
      </c>
      <c r="V106" s="183">
        <f ca="1">VLOOKUP(Z106,'MX PV'!$C$2:$G$134,5,FALSE)</f>
        <v>3682981.7512125699</v>
      </c>
      <c r="W106" s="105">
        <f t="shared" ca="1" si="102"/>
        <v>-30734.603423514403</v>
      </c>
      <c r="X106" s="178"/>
      <c r="Y106" s="142" t="str">
        <f t="shared" ca="1" si="104"/>
        <v>Fail</v>
      </c>
      <c r="Z106" s="123" t="s">
        <v>221</v>
      </c>
      <c r="AA106" s="299"/>
      <c r="AB106" s="299"/>
    </row>
    <row r="107" spans="1:28">
      <c r="A107" s="309"/>
      <c r="B107" s="79">
        <v>100000000</v>
      </c>
      <c r="C107" s="80" t="str">
        <f t="shared" si="109"/>
        <v>Linear</v>
      </c>
      <c r="D107" s="80" t="s">
        <v>25</v>
      </c>
      <c r="E107" s="80">
        <v>3</v>
      </c>
      <c r="F107" s="80" t="s">
        <v>27</v>
      </c>
      <c r="G107" s="80"/>
      <c r="H107" s="81">
        <v>0</v>
      </c>
      <c r="I107" s="80" t="str">
        <f t="shared" si="105"/>
        <v>EUR</v>
      </c>
      <c r="J107" s="80">
        <f t="shared" si="110"/>
        <v>2</v>
      </c>
      <c r="K107" s="82">
        <f t="shared" ca="1" si="112"/>
        <v>41423</v>
      </c>
      <c r="L107" s="82">
        <v>42449</v>
      </c>
      <c r="M107" s="82">
        <f t="shared" ca="1" si="106"/>
        <v>42450</v>
      </c>
      <c r="N107" s="83">
        <f ca="1">IF(F107="Yes",B107*((1+H107)^TimeToMaturity(L107,K107,"30 / 360")-1),-B107*((1+H107)^TimeToMaturity(L107,K107,"30 / 360")-1))</f>
        <v>0</v>
      </c>
      <c r="O107" s="82">
        <f t="shared" ca="1" si="107"/>
        <v>41333</v>
      </c>
      <c r="P107" s="84">
        <f t="shared" ca="1" si="111"/>
        <v>125.32903225806452</v>
      </c>
      <c r="Q107" s="82">
        <f t="shared" ca="1" si="101"/>
        <v>42358</v>
      </c>
      <c r="R107" s="85">
        <f t="shared" ca="1" si="113"/>
        <v>129.99464408924288</v>
      </c>
      <c r="S107" s="82">
        <f t="shared" si="114"/>
        <v>41421</v>
      </c>
      <c r="T107" s="86">
        <f t="shared" ca="1" si="115"/>
        <v>0.99346136054004919</v>
      </c>
      <c r="U107" s="87">
        <f t="shared" ca="1" si="103"/>
        <v>3698349.0529234232</v>
      </c>
      <c r="V107" s="183">
        <f ca="1">VLOOKUP(Z107,'MX PV'!$C$2:$G$134,5,FALSE)</f>
        <v>3682981.7512125699</v>
      </c>
      <c r="W107" s="105">
        <f t="shared" ca="1" si="102"/>
        <v>-15367.301710853353</v>
      </c>
      <c r="X107" s="178"/>
      <c r="Y107" s="142" t="str">
        <f t="shared" ca="1" si="104"/>
        <v>Fail</v>
      </c>
      <c r="Z107" s="123" t="s">
        <v>222</v>
      </c>
      <c r="AA107" s="299"/>
      <c r="AB107" s="299"/>
    </row>
    <row r="108" spans="1:28">
      <c r="A108" s="309"/>
      <c r="B108" s="79">
        <v>100000000</v>
      </c>
      <c r="C108" s="80" t="str">
        <f t="shared" si="109"/>
        <v>Linear</v>
      </c>
      <c r="D108" s="80" t="s">
        <v>25</v>
      </c>
      <c r="E108" s="80">
        <v>3</v>
      </c>
      <c r="F108" s="80" t="s">
        <v>27</v>
      </c>
      <c r="G108" s="80"/>
      <c r="H108" s="81">
        <v>0</v>
      </c>
      <c r="I108" s="80" t="str">
        <f t="shared" si="105"/>
        <v>EUR</v>
      </c>
      <c r="J108" s="80">
        <f t="shared" si="110"/>
        <v>2</v>
      </c>
      <c r="K108" s="82">
        <f t="shared" ca="1" si="112"/>
        <v>41423</v>
      </c>
      <c r="L108" s="82">
        <v>42450</v>
      </c>
      <c r="M108" s="82">
        <f t="shared" ca="1" si="106"/>
        <v>42450</v>
      </c>
      <c r="N108" s="83">
        <f ca="1">IF(F108="Yes",B108*((1+H108)^TimeToMaturity(L108,K108,"30 / 360")-1),-B108*((1+H108)^TimeToMaturity(L108,K108,"30 / 360")-1))</f>
        <v>0</v>
      </c>
      <c r="O108" s="82">
        <f t="shared" ca="1" si="107"/>
        <v>41333</v>
      </c>
      <c r="P108" s="84">
        <f t="shared" ca="1" si="111"/>
        <v>125.32903225806452</v>
      </c>
      <c r="Q108" s="82">
        <f t="shared" ca="1" si="101"/>
        <v>42359</v>
      </c>
      <c r="R108" s="85">
        <f t="shared" ca="1" si="113"/>
        <v>129.9752576377052</v>
      </c>
      <c r="S108" s="82">
        <f t="shared" si="114"/>
        <v>41421</v>
      </c>
      <c r="T108" s="86">
        <f t="shared" ca="1" si="115"/>
        <v>0.99346136054004919</v>
      </c>
      <c r="U108" s="87">
        <f t="shared" ca="1" si="103"/>
        <v>3682981.7512107403</v>
      </c>
      <c r="V108" s="183">
        <f ca="1">VLOOKUP(Z108,'MX PV'!$C$2:$G$134,5,FALSE)</f>
        <v>3682981.7512125699</v>
      </c>
      <c r="W108" s="105">
        <f t="shared" ca="1" si="102"/>
        <v>1.8295831978321075E-6</v>
      </c>
      <c r="X108" s="178"/>
      <c r="Y108" s="142" t="str">
        <f t="shared" ca="1" si="104"/>
        <v>Pass</v>
      </c>
      <c r="Z108" s="123" t="s">
        <v>223</v>
      </c>
      <c r="AA108" s="299"/>
      <c r="AB108" s="299"/>
    </row>
    <row r="109" spans="1:28">
      <c r="A109" s="309"/>
      <c r="B109" s="79">
        <v>100000000</v>
      </c>
      <c r="C109" s="80" t="str">
        <f t="shared" si="109"/>
        <v>Linear</v>
      </c>
      <c r="D109" s="80" t="s">
        <v>25</v>
      </c>
      <c r="E109" s="80">
        <v>3</v>
      </c>
      <c r="F109" s="80" t="s">
        <v>27</v>
      </c>
      <c r="G109" s="80"/>
      <c r="H109" s="81">
        <v>0</v>
      </c>
      <c r="I109" s="80" t="str">
        <f t="shared" si="105"/>
        <v>EUR</v>
      </c>
      <c r="J109" s="80">
        <f t="shared" si="110"/>
        <v>2</v>
      </c>
      <c r="K109" s="82">
        <f t="shared" ca="1" si="112"/>
        <v>41423</v>
      </c>
      <c r="L109" s="82">
        <v>42451</v>
      </c>
      <c r="M109" s="82">
        <f t="shared" ca="1" si="106"/>
        <v>42451</v>
      </c>
      <c r="N109" s="83">
        <f ca="1">IF(F109="Yes",B109*((1+H109)^TimeToMaturity(L109,K109,"30 / 360")-1),-B109*((1+H109)^TimeToMaturity(L109,K109,"30 / 360")-1))</f>
        <v>0</v>
      </c>
      <c r="O109" s="82">
        <f t="shared" ca="1" si="107"/>
        <v>41333</v>
      </c>
      <c r="P109" s="84">
        <f t="shared" ca="1" si="111"/>
        <v>125.32903225806452</v>
      </c>
      <c r="Q109" s="82">
        <f t="shared" ca="1" si="101"/>
        <v>42360</v>
      </c>
      <c r="R109" s="85">
        <f t="shared" ca="1" si="113"/>
        <v>129.95587118616751</v>
      </c>
      <c r="S109" s="82">
        <f t="shared" si="114"/>
        <v>41421</v>
      </c>
      <c r="T109" s="86">
        <f t="shared" ca="1" si="115"/>
        <v>0.99344519752638016</v>
      </c>
      <c r="U109" s="87">
        <f t="shared" ca="1" si="103"/>
        <v>3667554.7796358615</v>
      </c>
      <c r="V109" s="183">
        <f ca="1">VLOOKUP(Z109,'MX PV'!$C$2:$G$134,5,FALSE)</f>
        <v>3667554.7796376999</v>
      </c>
      <c r="W109" s="105">
        <f t="shared" ca="1" si="102"/>
        <v>1.8384307622909546E-6</v>
      </c>
      <c r="X109" s="178"/>
      <c r="Y109" s="142" t="str">
        <f t="shared" ca="1" si="104"/>
        <v>Pass</v>
      </c>
      <c r="Z109" s="123" t="s">
        <v>224</v>
      </c>
      <c r="AA109" s="299"/>
      <c r="AB109" s="299"/>
    </row>
    <row r="110" spans="1:28">
      <c r="A110" s="309"/>
      <c r="B110" s="79">
        <v>100000000</v>
      </c>
      <c r="C110" s="80" t="str">
        <f t="shared" si="109"/>
        <v>Linear</v>
      </c>
      <c r="D110" s="80" t="s">
        <v>25</v>
      </c>
      <c r="E110" s="80">
        <v>3</v>
      </c>
      <c r="F110" s="80" t="s">
        <v>27</v>
      </c>
      <c r="G110" s="80"/>
      <c r="H110" s="81">
        <v>0</v>
      </c>
      <c r="I110" s="80" t="str">
        <f t="shared" si="105"/>
        <v>EUR</v>
      </c>
      <c r="J110" s="80">
        <f t="shared" si="110"/>
        <v>2</v>
      </c>
      <c r="K110" s="82">
        <f t="shared" ca="1" si="112"/>
        <v>41423</v>
      </c>
      <c r="L110" s="82">
        <v>42452</v>
      </c>
      <c r="M110" s="82">
        <f t="shared" ca="1" si="106"/>
        <v>42452</v>
      </c>
      <c r="N110" s="83">
        <f ca="1">IF(F110="Yes",B110*((1+H110)^TimeToMaturity(L110,K110,"30 / 360")-1),-B110*((1+H110)^TimeToMaturity(L110,K110,"30 / 360")-1))</f>
        <v>0</v>
      </c>
      <c r="O110" s="82">
        <f t="shared" ca="1" si="107"/>
        <v>41333</v>
      </c>
      <c r="P110" s="84">
        <f t="shared" ca="1" si="111"/>
        <v>125.32903225806452</v>
      </c>
      <c r="Q110" s="82">
        <f t="shared" ca="1" si="101"/>
        <v>42361</v>
      </c>
      <c r="R110" s="85">
        <f t="shared" ca="1" si="113"/>
        <v>129.9364847346298</v>
      </c>
      <c r="S110" s="82">
        <f t="shared" si="114"/>
        <v>41421</v>
      </c>
      <c r="T110" s="86">
        <f t="shared" ca="1" si="115"/>
        <v>0.99342901568968878</v>
      </c>
      <c r="U110" s="87">
        <f t="shared" ca="1" si="103"/>
        <v>3652128.2388955401</v>
      </c>
      <c r="V110" s="183">
        <f ca="1">VLOOKUP(Z110,'MX PV'!$C$2:$G$134,5,FALSE)</f>
        <v>3652128.23889738</v>
      </c>
      <c r="W110" s="105">
        <f t="shared" ca="1" si="102"/>
        <v>1.8398277461528778E-6</v>
      </c>
      <c r="X110" s="178"/>
      <c r="Y110" s="142" t="str">
        <f t="shared" ca="1" si="104"/>
        <v>Pass</v>
      </c>
      <c r="Z110" s="123" t="s">
        <v>225</v>
      </c>
      <c r="AA110" s="299"/>
      <c r="AB110" s="299"/>
    </row>
    <row r="111" spans="1:28">
      <c r="A111" s="309"/>
      <c r="B111" s="79">
        <v>100000000</v>
      </c>
      <c r="C111" s="80" t="str">
        <f t="shared" si="109"/>
        <v>Linear</v>
      </c>
      <c r="D111" s="80" t="s">
        <v>25</v>
      </c>
      <c r="E111" s="80">
        <v>3</v>
      </c>
      <c r="F111" s="80" t="s">
        <v>27</v>
      </c>
      <c r="G111" s="80"/>
      <c r="H111" s="81">
        <v>0</v>
      </c>
      <c r="I111" s="80" t="str">
        <f t="shared" si="105"/>
        <v>EUR</v>
      </c>
      <c r="J111" s="80">
        <f t="shared" si="110"/>
        <v>2</v>
      </c>
      <c r="K111" s="82">
        <f t="shared" ca="1" si="112"/>
        <v>41423</v>
      </c>
      <c r="L111" s="82">
        <v>42453</v>
      </c>
      <c r="M111" s="82">
        <f t="shared" ca="1" si="106"/>
        <v>42453</v>
      </c>
      <c r="N111" s="83">
        <f ca="1">IF(F111="Yes",B111*((1+H111)^TimeToMaturity(L111,K111,"30 / 360")-1),-B111*((1+H111)^TimeToMaturity(L111,K111,"30 / 360")-1))</f>
        <v>0</v>
      </c>
      <c r="O111" s="82">
        <f t="shared" ca="1" si="107"/>
        <v>41333</v>
      </c>
      <c r="P111" s="84">
        <f t="shared" ca="1" si="111"/>
        <v>125.32903225806452</v>
      </c>
      <c r="Q111" s="82">
        <f t="shared" ca="1" si="101"/>
        <v>42362</v>
      </c>
      <c r="R111" s="85">
        <f t="shared" ca="1" si="113"/>
        <v>129.91709828309212</v>
      </c>
      <c r="S111" s="82">
        <f t="shared" si="114"/>
        <v>41421</v>
      </c>
      <c r="T111" s="86">
        <f t="shared" ca="1" si="115"/>
        <v>0.99341281503090351</v>
      </c>
      <c r="U111" s="87">
        <f t="shared" ca="1" si="103"/>
        <v>3636702.1298666643</v>
      </c>
      <c r="V111" s="183">
        <f ca="1">VLOOKUP(Z111,'MX PV'!$C$2:$G$134,5,FALSE)</f>
        <v>3636702.12986852</v>
      </c>
      <c r="W111" s="105">
        <f t="shared" ca="1" si="102"/>
        <v>1.8556602299213409E-6</v>
      </c>
      <c r="X111" s="178"/>
      <c r="Y111" s="142" t="str">
        <f t="shared" ca="1" si="104"/>
        <v>Pass</v>
      </c>
      <c r="Z111" s="123" t="s">
        <v>226</v>
      </c>
      <c r="AA111" s="299"/>
      <c r="AB111" s="299"/>
    </row>
    <row r="112" spans="1:28">
      <c r="A112" s="309"/>
      <c r="B112" s="79">
        <v>100000000</v>
      </c>
      <c r="C112" s="80" t="str">
        <f t="shared" si="109"/>
        <v>Linear</v>
      </c>
      <c r="D112" s="80" t="s">
        <v>25</v>
      </c>
      <c r="E112" s="80">
        <v>3</v>
      </c>
      <c r="F112" s="80" t="s">
        <v>27</v>
      </c>
      <c r="G112" s="80"/>
      <c r="H112" s="81">
        <v>0</v>
      </c>
      <c r="I112" s="80" t="str">
        <f t="shared" si="105"/>
        <v>EUR</v>
      </c>
      <c r="J112" s="80">
        <f t="shared" si="110"/>
        <v>2</v>
      </c>
      <c r="K112" s="82">
        <f t="shared" ca="1" si="112"/>
        <v>41423</v>
      </c>
      <c r="L112" s="82">
        <v>42454</v>
      </c>
      <c r="M112" s="82">
        <f t="shared" ca="1" si="106"/>
        <v>42458</v>
      </c>
      <c r="N112" s="83">
        <f ca="1">IF(F112="Yes",B112*((1+H112)^TimeToMaturity(L112,K112,"30 / 360")-1),-B112*((1+H112)^TimeToMaturity(L112,K112,"30 / 360")-1))</f>
        <v>0</v>
      </c>
      <c r="O112" s="82">
        <f t="shared" ca="1" si="107"/>
        <v>41333</v>
      </c>
      <c r="P112" s="84">
        <f t="shared" ca="1" si="111"/>
        <v>125.32903225806452</v>
      </c>
      <c r="Q112" s="82">
        <f t="shared" ca="1" si="101"/>
        <v>42363</v>
      </c>
      <c r="R112" s="85">
        <f t="shared" ca="1" si="113"/>
        <v>129.89771183155443</v>
      </c>
      <c r="S112" s="82">
        <f t="shared" si="114"/>
        <v>41421</v>
      </c>
      <c r="T112" s="86">
        <f t="shared" ca="1" si="115"/>
        <v>0.99333152943813541</v>
      </c>
      <c r="U112" s="87">
        <f t="shared" ca="1" si="103"/>
        <v>3621039.2647913373</v>
      </c>
      <c r="V112" s="183">
        <f ca="1">VLOOKUP(Z112,'MX PV'!$C$2:$G$134,5,FALSE)</f>
        <v>3559578.0910831299</v>
      </c>
      <c r="W112" s="105">
        <f t="shared" ca="1" si="102"/>
        <v>-61461.17370820744</v>
      </c>
      <c r="X112" s="178"/>
      <c r="Y112" s="142" t="str">
        <f t="shared" ca="1" si="104"/>
        <v>Fail</v>
      </c>
      <c r="Z112" s="123" t="s">
        <v>227</v>
      </c>
      <c r="AA112" s="299"/>
      <c r="AB112" s="299"/>
    </row>
    <row r="113" spans="1:28">
      <c r="A113" s="309"/>
      <c r="B113" s="79">
        <v>100000000</v>
      </c>
      <c r="C113" s="80" t="str">
        <f t="shared" si="109"/>
        <v>Linear</v>
      </c>
      <c r="D113" s="80" t="s">
        <v>25</v>
      </c>
      <c r="E113" s="80">
        <v>3</v>
      </c>
      <c r="F113" s="80" t="s">
        <v>27</v>
      </c>
      <c r="G113" s="80"/>
      <c r="H113" s="81">
        <v>0</v>
      </c>
      <c r="I113" s="80" t="str">
        <f t="shared" si="105"/>
        <v>EUR</v>
      </c>
      <c r="J113" s="80">
        <f t="shared" si="110"/>
        <v>2</v>
      </c>
      <c r="K113" s="82">
        <f t="shared" ca="1" si="112"/>
        <v>41423</v>
      </c>
      <c r="L113" s="82">
        <v>42455</v>
      </c>
      <c r="M113" s="82">
        <f t="shared" ca="1" si="106"/>
        <v>42458</v>
      </c>
      <c r="N113" s="83">
        <f ca="1">IF(F113="Yes",B113*((1+H113)^TimeToMaturity(L113,K113,"30 / 360")-1),-B113*((1+H113)^TimeToMaturity(L113,K113,"30 / 360")-1))</f>
        <v>0</v>
      </c>
      <c r="O113" s="82">
        <f t="shared" ca="1" si="107"/>
        <v>41333</v>
      </c>
      <c r="P113" s="84">
        <f t="shared" ca="1" si="111"/>
        <v>125.32903225806452</v>
      </c>
      <c r="Q113" s="82">
        <f t="shared" ca="1" si="101"/>
        <v>42364</v>
      </c>
      <c r="R113" s="85">
        <f t="shared" ca="1" si="113"/>
        <v>129.87832538001675</v>
      </c>
      <c r="S113" s="82">
        <f t="shared" si="114"/>
        <v>41421</v>
      </c>
      <c r="T113" s="86">
        <f t="shared" ca="1" si="115"/>
        <v>0.99333152943813541</v>
      </c>
      <c r="U113" s="87">
        <f t="shared" ca="1" si="103"/>
        <v>3605673.9713638215</v>
      </c>
      <c r="V113" s="183">
        <f ca="1">VLOOKUP(Z113,'MX PV'!$C$2:$G$134,5,FALSE)</f>
        <v>3559578.0910831299</v>
      </c>
      <c r="W113" s="105">
        <f t="shared" ca="1" si="102"/>
        <v>-46095.880280691665</v>
      </c>
      <c r="X113" s="178"/>
      <c r="Y113" s="142" t="str">
        <f t="shared" ca="1" si="104"/>
        <v>Fail</v>
      </c>
      <c r="Z113" s="123" t="s">
        <v>228</v>
      </c>
      <c r="AA113" s="299"/>
      <c r="AB113" s="299"/>
    </row>
    <row r="114" spans="1:28">
      <c r="A114" s="309"/>
      <c r="B114" s="79">
        <v>100000000</v>
      </c>
      <c r="C114" s="80" t="str">
        <f t="shared" si="109"/>
        <v>Linear</v>
      </c>
      <c r="D114" s="80" t="s">
        <v>25</v>
      </c>
      <c r="E114" s="80">
        <v>3</v>
      </c>
      <c r="F114" s="80" t="s">
        <v>27</v>
      </c>
      <c r="G114" s="80"/>
      <c r="H114" s="81">
        <v>0</v>
      </c>
      <c r="I114" s="80" t="str">
        <f t="shared" si="105"/>
        <v>EUR</v>
      </c>
      <c r="J114" s="80">
        <f t="shared" si="110"/>
        <v>2</v>
      </c>
      <c r="K114" s="82">
        <f t="shared" ca="1" si="112"/>
        <v>41423</v>
      </c>
      <c r="L114" s="82">
        <v>42456</v>
      </c>
      <c r="M114" s="82">
        <f t="shared" ca="1" si="106"/>
        <v>42458</v>
      </c>
      <c r="N114" s="83">
        <f ca="1">IF(F114="Yes",B114*((1+H114)^TimeToMaturity(L114,K114,"30 / 360")-1),-B114*((1+H114)^TimeToMaturity(L114,K114,"30 / 360")-1))</f>
        <v>0</v>
      </c>
      <c r="O114" s="82">
        <f t="shared" ca="1" si="107"/>
        <v>41333</v>
      </c>
      <c r="P114" s="84">
        <f t="shared" ca="1" si="111"/>
        <v>125.32903225806452</v>
      </c>
      <c r="Q114" s="82">
        <f t="shared" ca="1" si="101"/>
        <v>42365</v>
      </c>
      <c r="R114" s="85">
        <f t="shared" ca="1" si="113"/>
        <v>129.85893892847903</v>
      </c>
      <c r="S114" s="82">
        <f t="shared" si="114"/>
        <v>41421</v>
      </c>
      <c r="T114" s="86">
        <f t="shared" ca="1" si="115"/>
        <v>0.99333152943813541</v>
      </c>
      <c r="U114" s="87">
        <f t="shared" ca="1" si="103"/>
        <v>3590308.6779362839</v>
      </c>
      <c r="V114" s="183">
        <f ca="1">VLOOKUP(Z114,'MX PV'!$C$2:$G$134,5,FALSE)</f>
        <v>3559578.0910831299</v>
      </c>
      <c r="W114" s="105">
        <f t="shared" ca="1" si="102"/>
        <v>-30730.586853154004</v>
      </c>
      <c r="X114" s="178"/>
      <c r="Y114" s="142" t="str">
        <f t="shared" ca="1" si="104"/>
        <v>Fail</v>
      </c>
      <c r="Z114" s="123" t="s">
        <v>229</v>
      </c>
      <c r="AA114" s="299"/>
      <c r="AB114" s="299"/>
    </row>
    <row r="115" spans="1:28">
      <c r="A115" s="309"/>
      <c r="B115" s="79">
        <v>100000000</v>
      </c>
      <c r="C115" s="80" t="str">
        <f t="shared" si="109"/>
        <v>Linear</v>
      </c>
      <c r="D115" s="80" t="s">
        <v>25</v>
      </c>
      <c r="E115" s="80">
        <v>3</v>
      </c>
      <c r="F115" s="80" t="s">
        <v>27</v>
      </c>
      <c r="G115" s="80"/>
      <c r="H115" s="81">
        <v>0</v>
      </c>
      <c r="I115" s="80" t="str">
        <f t="shared" si="105"/>
        <v>EUR</v>
      </c>
      <c r="J115" s="80">
        <f t="shared" si="110"/>
        <v>2</v>
      </c>
      <c r="K115" s="82">
        <f t="shared" ca="1" si="112"/>
        <v>41423</v>
      </c>
      <c r="L115" s="82">
        <v>42457</v>
      </c>
      <c r="M115" s="82">
        <f t="shared" ca="1" si="106"/>
        <v>42458</v>
      </c>
      <c r="N115" s="83">
        <f ca="1">IF(F115="Yes",B115*((1+H115)^TimeToMaturity(L115,K115,"30 / 360")-1),-B115*((1+H115)^TimeToMaturity(L115,K115,"30 / 360")-1))</f>
        <v>0</v>
      </c>
      <c r="O115" s="82">
        <f t="shared" ca="1" si="107"/>
        <v>41333</v>
      </c>
      <c r="P115" s="84">
        <f t="shared" ca="1" si="111"/>
        <v>125.32903225806452</v>
      </c>
      <c r="Q115" s="82">
        <f t="shared" ca="1" si="101"/>
        <v>42366</v>
      </c>
      <c r="R115" s="85">
        <f t="shared" ca="1" si="113"/>
        <v>129.83955247694135</v>
      </c>
      <c r="S115" s="82">
        <f t="shared" si="114"/>
        <v>41421</v>
      </c>
      <c r="T115" s="86">
        <f t="shared" ca="1" si="115"/>
        <v>0.99333152943813541</v>
      </c>
      <c r="U115" s="87">
        <f t="shared" ca="1" si="103"/>
        <v>3574943.38450879</v>
      </c>
      <c r="V115" s="183">
        <f ca="1">VLOOKUP(Z115,'MX PV'!$C$2:$G$134,5,FALSE)</f>
        <v>3559578.0910831299</v>
      </c>
      <c r="W115" s="105">
        <f t="shared" ca="1" si="102"/>
        <v>-15365.293425660115</v>
      </c>
      <c r="X115" s="178"/>
      <c r="Y115" s="142" t="str">
        <f t="shared" ca="1" si="104"/>
        <v>Fail</v>
      </c>
      <c r="Z115" s="123" t="s">
        <v>230</v>
      </c>
      <c r="AA115" s="299"/>
      <c r="AB115" s="299"/>
    </row>
    <row r="116" spans="1:28">
      <c r="A116" s="309"/>
      <c r="B116" s="79">
        <v>100000000</v>
      </c>
      <c r="C116" s="80" t="str">
        <f t="shared" si="109"/>
        <v>Linear</v>
      </c>
      <c r="D116" s="80" t="s">
        <v>25</v>
      </c>
      <c r="E116" s="80">
        <v>3</v>
      </c>
      <c r="F116" s="80" t="s">
        <v>27</v>
      </c>
      <c r="G116" s="80"/>
      <c r="H116" s="81">
        <v>0</v>
      </c>
      <c r="I116" s="80" t="str">
        <f t="shared" si="105"/>
        <v>EUR</v>
      </c>
      <c r="J116" s="80">
        <f t="shared" si="110"/>
        <v>2</v>
      </c>
      <c r="K116" s="82">
        <f t="shared" ca="1" si="112"/>
        <v>41423</v>
      </c>
      <c r="L116" s="82">
        <v>42458</v>
      </c>
      <c r="M116" s="82">
        <f t="shared" ca="1" si="106"/>
        <v>42458</v>
      </c>
      <c r="N116" s="83">
        <f ca="1">IF(F116="Yes",B116*((1+H116)^TimeToMaturity(L116,K116,"30 / 360")-1),-B116*((1+H116)^TimeToMaturity(L116,K116,"30 / 360")-1))</f>
        <v>0</v>
      </c>
      <c r="O116" s="82">
        <f t="shared" ca="1" si="107"/>
        <v>41333</v>
      </c>
      <c r="P116" s="84">
        <f t="shared" ca="1" si="111"/>
        <v>125.32903225806452</v>
      </c>
      <c r="Q116" s="82">
        <f t="shared" ca="1" si="101"/>
        <v>42367</v>
      </c>
      <c r="R116" s="85">
        <f t="shared" ca="1" si="113"/>
        <v>129.82016602540367</v>
      </c>
      <c r="S116" s="82">
        <f t="shared" si="114"/>
        <v>41421</v>
      </c>
      <c r="T116" s="86">
        <f t="shared" ca="1" si="115"/>
        <v>0.99333152943813541</v>
      </c>
      <c r="U116" s="87">
        <f t="shared" ca="1" si="103"/>
        <v>3559578.0910812742</v>
      </c>
      <c r="V116" s="183">
        <f ca="1">VLOOKUP(Z116,'MX PV'!$C$2:$G$134,5,FALSE)</f>
        <v>3559578.0910831299</v>
      </c>
      <c r="W116" s="105">
        <f t="shared" ca="1" si="102"/>
        <v>1.8556602299213409E-6</v>
      </c>
      <c r="X116" s="178"/>
      <c r="Y116" s="142" t="str">
        <f t="shared" ca="1" si="104"/>
        <v>Pass</v>
      </c>
      <c r="Z116" s="123" t="s">
        <v>231</v>
      </c>
      <c r="AA116" s="299"/>
      <c r="AB116" s="299"/>
    </row>
    <row r="117" spans="1:28" s="130" customFormat="1">
      <c r="A117" s="309"/>
      <c r="B117" s="79">
        <v>100000000</v>
      </c>
      <c r="C117" s="80" t="str">
        <f t="shared" si="109"/>
        <v>Linear</v>
      </c>
      <c r="D117" s="80" t="s">
        <v>25</v>
      </c>
      <c r="E117" s="80">
        <v>3</v>
      </c>
      <c r="F117" s="80" t="s">
        <v>27</v>
      </c>
      <c r="G117" s="80"/>
      <c r="H117" s="81">
        <v>0</v>
      </c>
      <c r="I117" s="80" t="str">
        <f t="shared" si="105"/>
        <v>EUR</v>
      </c>
      <c r="J117" s="80">
        <f t="shared" si="110"/>
        <v>2</v>
      </c>
      <c r="K117" s="82">
        <f t="shared" ca="1" si="112"/>
        <v>41423</v>
      </c>
      <c r="L117" s="82">
        <v>42459</v>
      </c>
      <c r="M117" s="82">
        <f t="shared" ca="1" si="106"/>
        <v>42459</v>
      </c>
      <c r="N117" s="83">
        <f ca="1">IF(F117="Yes",B117*((1+H117)^TimeToMaturity(L117,K117,"30 / 360")-1),-B117*((1+H117)^TimeToMaturity(L117,K117,"30 / 360")-1))</f>
        <v>0</v>
      </c>
      <c r="O117" s="82">
        <f t="shared" ca="1" si="107"/>
        <v>41333</v>
      </c>
      <c r="P117" s="84">
        <f t="shared" ca="1" si="111"/>
        <v>125.32903225806452</v>
      </c>
      <c r="Q117" s="82">
        <f t="shared" ca="1" si="101"/>
        <v>42368</v>
      </c>
      <c r="R117" s="85">
        <f t="shared" ca="1" si="113"/>
        <v>129.80077957386598</v>
      </c>
      <c r="S117" s="82">
        <f t="shared" si="114"/>
        <v>41421</v>
      </c>
      <c r="T117" s="86">
        <f t="shared" ca="1" si="115"/>
        <v>0.99331521586634208</v>
      </c>
      <c r="U117" s="87">
        <f t="shared" ca="1" si="103"/>
        <v>3544154.5907327156</v>
      </c>
      <c r="V117" s="183">
        <f ca="1">VLOOKUP(Z117,'MX PV'!$C$2:$G$134,5,FALSE)</f>
        <v>3544154.5907345498</v>
      </c>
      <c r="W117" s="105">
        <f t="shared" ca="1" si="102"/>
        <v>1.8342398107051849E-6</v>
      </c>
      <c r="X117" s="178"/>
      <c r="Y117" s="142" t="str">
        <f t="shared" ca="1" si="104"/>
        <v>Pass</v>
      </c>
      <c r="Z117" s="123" t="s">
        <v>232</v>
      </c>
      <c r="AA117" s="299"/>
      <c r="AB117" s="299"/>
    </row>
    <row r="118" spans="1:28" s="130" customFormat="1">
      <c r="A118" s="309"/>
      <c r="B118" s="79">
        <v>100000000</v>
      </c>
      <c r="C118" s="80" t="str">
        <f t="shared" si="109"/>
        <v>Linear</v>
      </c>
      <c r="D118" s="80" t="s">
        <v>25</v>
      </c>
      <c r="E118" s="80">
        <v>3</v>
      </c>
      <c r="F118" s="80" t="s">
        <v>27</v>
      </c>
      <c r="G118" s="80"/>
      <c r="H118" s="81">
        <v>0</v>
      </c>
      <c r="I118" s="80" t="str">
        <f t="shared" si="105"/>
        <v>EUR</v>
      </c>
      <c r="J118" s="80">
        <f t="shared" si="110"/>
        <v>2</v>
      </c>
      <c r="K118" s="82">
        <f t="shared" ca="1" si="112"/>
        <v>41423</v>
      </c>
      <c r="L118" s="82">
        <v>42460</v>
      </c>
      <c r="M118" s="82">
        <f t="shared" ca="1" si="106"/>
        <v>42460</v>
      </c>
      <c r="N118" s="83">
        <f ca="1">IF(F118="Yes",B118*((1+H118)^TimeToMaturity(L118,K118,"30 / 360")-1),-B118*((1+H118)^TimeToMaturity(L118,K118,"30 / 360")-1))</f>
        <v>0</v>
      </c>
      <c r="O118" s="82">
        <f t="shared" ca="1" si="107"/>
        <v>41333</v>
      </c>
      <c r="P118" s="84">
        <f t="shared" ca="1" si="111"/>
        <v>125.32903225806452</v>
      </c>
      <c r="Q118" s="82">
        <f t="shared" ca="1" si="101"/>
        <v>42369</v>
      </c>
      <c r="R118" s="85">
        <f t="shared" ca="1" si="113"/>
        <v>129.78139312232827</v>
      </c>
      <c r="S118" s="82">
        <f t="shared" si="114"/>
        <v>41421</v>
      </c>
      <c r="T118" s="86">
        <f t="shared" ca="1" si="115"/>
        <v>0.99329888347898332</v>
      </c>
      <c r="U118" s="87">
        <f t="shared" ca="1" si="103"/>
        <v>3528731.5282322639</v>
      </c>
      <c r="V118" s="183">
        <f ca="1">VLOOKUP(Z118,'MX PV'!$C$2:$G$134,5,FALSE)</f>
        <v>3528731.5282341298</v>
      </c>
      <c r="W118" s="105">
        <f t="shared" ca="1" si="102"/>
        <v>1.8659047782421112E-6</v>
      </c>
      <c r="X118" s="178"/>
      <c r="Y118" s="142" t="str">
        <f t="shared" ref="Y118:Y139" ca="1" si="116">IF(ABS(W118)&lt;$E$2,"Pass","Fail")</f>
        <v>Pass</v>
      </c>
      <c r="Z118" s="123" t="s">
        <v>233</v>
      </c>
      <c r="AA118" s="299"/>
      <c r="AB118" s="299"/>
    </row>
    <row r="119" spans="1:28">
      <c r="A119" s="310"/>
      <c r="B119" s="88">
        <v>100000000</v>
      </c>
      <c r="C119" s="172" t="str">
        <f t="shared" si="109"/>
        <v>Linear</v>
      </c>
      <c r="D119" s="172" t="s">
        <v>25</v>
      </c>
      <c r="E119" s="172">
        <v>3</v>
      </c>
      <c r="F119" s="172" t="s">
        <v>27</v>
      </c>
      <c r="G119" s="172"/>
      <c r="H119" s="89">
        <v>0</v>
      </c>
      <c r="I119" s="172" t="str">
        <f t="shared" ref="I119" si="117">IF(OR(D119="FR",D119="EUR"),"EUR",IF(D119="GB","GBP","USD"))</f>
        <v>EUR</v>
      </c>
      <c r="J119" s="172">
        <f t="shared" si="110"/>
        <v>2</v>
      </c>
      <c r="K119" s="90">
        <f t="shared" ca="1" si="112"/>
        <v>41423</v>
      </c>
      <c r="L119" s="90">
        <v>42461</v>
      </c>
      <c r="M119" s="90">
        <f t="shared" ref="M119" ca="1" si="118">AddTenorToDateAsBDModFol(L119,"0D",INDIRECT(I119&amp;"Hols"))</f>
        <v>42461</v>
      </c>
      <c r="N119" s="91">
        <f ca="1">IF(F119="Yes",B119*((1+H119)^TimeToMaturity(L119,K119,"30 / 360")-1),-B119*((1+H119)^TimeToMaturity(L119,K119,"30 / 360")-1))</f>
        <v>0</v>
      </c>
      <c r="O119" s="90">
        <f t="shared" ref="O119" ca="1" si="119">GetCPIDate(K119,E119,C119)</f>
        <v>41333</v>
      </c>
      <c r="P119" s="92">
        <f t="shared" ca="1" si="111"/>
        <v>125.32903225806452</v>
      </c>
      <c r="Q119" s="90">
        <f t="shared" ca="1" si="101"/>
        <v>42370</v>
      </c>
      <c r="R119" s="93">
        <f t="shared" ca="1" si="113"/>
        <v>129.76200667079058</v>
      </c>
      <c r="S119" s="90">
        <f t="shared" si="114"/>
        <v>41421</v>
      </c>
      <c r="T119" s="94">
        <f t="shared" ca="1" si="115"/>
        <v>0.99328253227699603</v>
      </c>
      <c r="U119" s="95">
        <f t="shared" ca="1" si="103"/>
        <v>3513308.9044564422</v>
      </c>
      <c r="V119" s="183">
        <f ca="1">VLOOKUP(Z119,'MX PV'!$C$2:$G$134,5,FALSE)</f>
        <v>3513308.9044583198</v>
      </c>
      <c r="W119" s="105">
        <f t="shared" ca="1" si="102"/>
        <v>1.8775463104248047E-6</v>
      </c>
      <c r="X119" s="178"/>
      <c r="Y119" s="142" t="str">
        <f t="shared" ca="1" si="116"/>
        <v>Pass</v>
      </c>
      <c r="Z119" s="123" t="s">
        <v>234</v>
      </c>
      <c r="AA119" s="299"/>
      <c r="AB119" s="299"/>
    </row>
    <row r="120" spans="1:28" ht="15" customHeight="1">
      <c r="A120" s="308" t="s">
        <v>105</v>
      </c>
      <c r="B120" s="70">
        <v>100000000</v>
      </c>
      <c r="C120" s="71" t="str">
        <f t="shared" ref="C120:C123" si="120">IF(OR(D120="FR",D120="US"),"Linear","Piecewise")</f>
        <v>Piecewise</v>
      </c>
      <c r="D120" s="71" t="s">
        <v>23</v>
      </c>
      <c r="E120" s="71">
        <v>2</v>
      </c>
      <c r="F120" s="71" t="s">
        <v>27</v>
      </c>
      <c r="G120" s="71" t="s">
        <v>91</v>
      </c>
      <c r="H120" s="72">
        <v>8.9999999999999993E-3</v>
      </c>
      <c r="I120" s="71" t="str">
        <f t="shared" ref="I120:I123" si="121">IF(OR(D120="FR",D120="EUR"),"EUR",IF(D120="GB","GBP","USD"))</f>
        <v>GBP</v>
      </c>
      <c r="J120" s="71">
        <f t="shared" ref="J120:J123" si="122">IF(I120="GBP",0,2)</f>
        <v>0</v>
      </c>
      <c r="K120" s="73">
        <f>$B$3+1</f>
        <v>41057</v>
      </c>
      <c r="L120" s="73">
        <f>AddTenorToDate(K120,GetNumsForString(G120),GetCharsForString(G120))</f>
        <v>41422</v>
      </c>
      <c r="M120" s="73">
        <f t="shared" ref="M120:M123" ca="1" si="123">AddTenorToDateAsBDModFol(L120,"0D",INDIRECT(I120&amp;"Hols"))</f>
        <v>41422</v>
      </c>
      <c r="N120" s="74">
        <f>IF(F120="Yes",B120*((1+H120)^TimeToMaturity(L120,K120,"30 / 360")-1),-B120*((1+H120)^TimeToMaturity(L120,K120,"30 / 360")-1))</f>
        <v>-899999.99999998964</v>
      </c>
      <c r="O120" s="73">
        <f>GetCPIDate(K120,E120,C120)</f>
        <v>40969</v>
      </c>
      <c r="P120" s="75">
        <f t="shared" ref="P120:P123" ca="1" si="124">GetReferenceCPI(K120,E120,C120,INDIRECT(D120&amp;"_Fixings"),FALSE)</f>
        <v>240.8</v>
      </c>
      <c r="Q120" s="73">
        <f t="shared" ca="1" si="101"/>
        <v>41334</v>
      </c>
      <c r="R120" s="76">
        <f t="shared" ca="1" si="113"/>
        <v>248.7</v>
      </c>
      <c r="S120" s="73">
        <f t="shared" si="114"/>
        <v>41421</v>
      </c>
      <c r="T120" s="77">
        <f t="shared" ca="1" si="115"/>
        <v>0.99998845492781085</v>
      </c>
      <c r="U120" s="78">
        <f t="shared" ca="1" si="103"/>
        <v>2380703.4112998946</v>
      </c>
      <c r="V120" s="101">
        <f ca="1">VLOOKUP(Z120,'MX PV'!$C$2:$G$134,5,FALSE)</f>
        <v>2380703.4112999002</v>
      </c>
      <c r="W120" s="114">
        <f t="shared" ca="1" si="102"/>
        <v>5.5879354476928711E-9</v>
      </c>
      <c r="X120" s="178"/>
      <c r="Y120" s="142" t="str">
        <f t="shared" ca="1" si="116"/>
        <v>Pass</v>
      </c>
      <c r="Z120" s="123" t="s">
        <v>235</v>
      </c>
      <c r="AA120" s="299"/>
      <c r="AB120" s="299"/>
    </row>
    <row r="121" spans="1:28">
      <c r="A121" s="309"/>
      <c r="B121" s="129">
        <v>100000000</v>
      </c>
      <c r="C121" s="127" t="str">
        <f t="shared" si="120"/>
        <v>Piecewise</v>
      </c>
      <c r="D121" s="127" t="s">
        <v>22</v>
      </c>
      <c r="E121" s="127">
        <v>3</v>
      </c>
      <c r="F121" s="127" t="s">
        <v>27</v>
      </c>
      <c r="G121" s="127" t="s">
        <v>91</v>
      </c>
      <c r="H121" s="125">
        <v>1.4999999999999999E-2</v>
      </c>
      <c r="I121" s="127" t="str">
        <f t="shared" si="121"/>
        <v>EUR</v>
      </c>
      <c r="J121" s="127">
        <f t="shared" si="122"/>
        <v>2</v>
      </c>
      <c r="K121" s="128">
        <f>$B$3+1</f>
        <v>41057</v>
      </c>
      <c r="L121" s="128">
        <f>AddTenorToDate(K121,GetNumsForString(G121),GetCharsForString(G121))</f>
        <v>41422</v>
      </c>
      <c r="M121" s="128">
        <f t="shared" ca="1" si="123"/>
        <v>41422</v>
      </c>
      <c r="N121" s="135">
        <f>IF(F121="Yes",B121*((1+H121)^TimeToMaturity(L121,K121,"30 / 360")-1),-B121*((1+H121)^TimeToMaturity(L121,K121,"30 / 360")-1))</f>
        <v>-1499999.9999999902</v>
      </c>
      <c r="O121" s="128">
        <f t="shared" ref="O121:O123" si="125">GetCPIDate(K121,E121,C121)</f>
        <v>40940</v>
      </c>
      <c r="P121" s="133">
        <f t="shared" ca="1" si="124"/>
        <v>113.53</v>
      </c>
      <c r="Q121" s="128">
        <f t="shared" ca="1" si="101"/>
        <v>41306</v>
      </c>
      <c r="R121" s="131">
        <f t="shared" ca="1" si="113"/>
        <v>115.55</v>
      </c>
      <c r="S121" s="128">
        <f t="shared" si="114"/>
        <v>41421</v>
      </c>
      <c r="T121" s="136">
        <f t="shared" ca="1" si="115"/>
        <v>0.99999772222741057</v>
      </c>
      <c r="U121" s="132">
        <f t="shared" ca="1" si="103"/>
        <v>279264.75630424579</v>
      </c>
      <c r="V121" s="154">
        <f ca="1">VLOOKUP(Z121,'MX PV'!$C$2:$G$134,5,FALSE)</f>
        <v>279264.75630424399</v>
      </c>
      <c r="W121" s="141">
        <f t="shared" ca="1" si="102"/>
        <v>-1.8044374883174896E-9</v>
      </c>
      <c r="X121" s="182"/>
      <c r="Y121" s="143" t="str">
        <f t="shared" ca="1" si="116"/>
        <v>Pass</v>
      </c>
      <c r="Z121" s="134" t="s">
        <v>236</v>
      </c>
      <c r="AA121" s="299"/>
      <c r="AB121" s="299"/>
    </row>
    <row r="122" spans="1:28">
      <c r="A122" s="309"/>
      <c r="B122" s="129">
        <v>100000000</v>
      </c>
      <c r="C122" s="127" t="str">
        <f t="shared" si="120"/>
        <v>Linear</v>
      </c>
      <c r="D122" s="127" t="s">
        <v>24</v>
      </c>
      <c r="E122" s="127">
        <v>3</v>
      </c>
      <c r="F122" s="127" t="s">
        <v>27</v>
      </c>
      <c r="G122" s="127" t="s">
        <v>91</v>
      </c>
      <c r="H122" s="125">
        <v>1.7000000000000001E-2</v>
      </c>
      <c r="I122" s="127" t="str">
        <f t="shared" si="121"/>
        <v>USD</v>
      </c>
      <c r="J122" s="127">
        <f t="shared" si="122"/>
        <v>2</v>
      </c>
      <c r="K122" s="128">
        <f>$B$3+1</f>
        <v>41057</v>
      </c>
      <c r="L122" s="128">
        <f>AddTenorToDate(K122,GetNumsForString(G122),GetCharsForString(G122))</f>
        <v>41422</v>
      </c>
      <c r="M122" s="128">
        <f t="shared" ca="1" si="123"/>
        <v>41422</v>
      </c>
      <c r="N122" s="135">
        <f>IF(F122="Yes",B122*((1+H122)^TimeToMaturity(L122,K122,"30 / 360")-1),-B122*((1+H122)^TimeToMaturity(L122,K122,"30 / 360")-1))</f>
        <v>-1699999.9999999905</v>
      </c>
      <c r="O122" s="128">
        <f>GetCPIDate(K122,E122,C122)</f>
        <v>40967</v>
      </c>
      <c r="P122" s="133">
        <f t="shared" ca="1" si="124"/>
        <v>229.16890322580645</v>
      </c>
      <c r="Q122" s="128">
        <f t="shared" ca="1" si="101"/>
        <v>41333</v>
      </c>
      <c r="R122" s="131">
        <f t="shared" ca="1" si="113"/>
        <v>232.69467741935483</v>
      </c>
      <c r="S122" s="128">
        <f t="shared" si="114"/>
        <v>41421</v>
      </c>
      <c r="T122" s="136">
        <f t="shared" ca="1" si="115"/>
        <v>0.99999777778271604</v>
      </c>
      <c r="U122" s="132">
        <f ca="1">IF(F122="Yes",(-(R122/P122-1)*B122+N122)*T122,((R122/P122-1)*B122+N122)*T122)</f>
        <v>-161495.00811168778</v>
      </c>
      <c r="V122" s="161">
        <f ca="1">VLOOKUP(Z122,'MX PV'!$C$2:$G$134,5,FALSE)</f>
        <v>-161495.008111692</v>
      </c>
      <c r="W122" s="141">
        <f t="shared" ca="1" si="102"/>
        <v>-4.220055416226387E-9</v>
      </c>
      <c r="X122" s="182"/>
      <c r="Y122" s="143" t="str">
        <f t="shared" ca="1" si="116"/>
        <v>Pass</v>
      </c>
      <c r="Z122" s="134" t="s">
        <v>237</v>
      </c>
      <c r="AA122" s="299"/>
      <c r="AB122" s="299"/>
    </row>
    <row r="123" spans="1:28">
      <c r="A123" s="310"/>
      <c r="B123" s="88">
        <v>100000000</v>
      </c>
      <c r="C123" s="172" t="str">
        <f t="shared" si="120"/>
        <v>Linear</v>
      </c>
      <c r="D123" s="172" t="s">
        <v>25</v>
      </c>
      <c r="E123" s="172">
        <v>3</v>
      </c>
      <c r="F123" s="172" t="s">
        <v>27</v>
      </c>
      <c r="G123" s="172" t="s">
        <v>91</v>
      </c>
      <c r="H123" s="89">
        <v>1.4E-2</v>
      </c>
      <c r="I123" s="172" t="str">
        <f t="shared" si="121"/>
        <v>EUR</v>
      </c>
      <c r="J123" s="172">
        <f t="shared" si="122"/>
        <v>2</v>
      </c>
      <c r="K123" s="90">
        <f>$B$3+1</f>
        <v>41057</v>
      </c>
      <c r="L123" s="90">
        <f>AddTenorToDate(K123,GetNumsForString(G123),GetCharsForString(G123))</f>
        <v>41422</v>
      </c>
      <c r="M123" s="90">
        <f t="shared" ca="1" si="123"/>
        <v>41422</v>
      </c>
      <c r="N123" s="91">
        <f>IF(F123="Yes",B123*((1+H123)^TimeToMaturity(L123,K123,"30 / 360")-1),-B123*((1+H123)^TimeToMaturity(L123,K123,"30 / 360")-1))</f>
        <v>-1400000.0000000012</v>
      </c>
      <c r="O123" s="90">
        <f t="shared" si="125"/>
        <v>40967</v>
      </c>
      <c r="P123" s="92">
        <f t="shared" ca="1" si="124"/>
        <v>124.31709677419354</v>
      </c>
      <c r="Q123" s="90">
        <f t="shared" ca="1" si="101"/>
        <v>41333</v>
      </c>
      <c r="R123" s="93">
        <f t="shared" ca="1" si="113"/>
        <v>125.29870967741935</v>
      </c>
      <c r="S123" s="90">
        <f t="shared" si="114"/>
        <v>41421</v>
      </c>
      <c r="T123" s="94">
        <f t="shared" ca="1" si="115"/>
        <v>0.99999772222741057</v>
      </c>
      <c r="U123" s="95">
        <f t="shared" ca="1" si="103"/>
        <v>-610394.50153595849</v>
      </c>
      <c r="V123" s="103">
        <f ca="1">VLOOKUP(Z123,'MX PV'!$C$2:$G$134,5,FALSE)</f>
        <v>-610394.501535955</v>
      </c>
      <c r="W123" s="115">
        <f t="shared" ca="1" si="102"/>
        <v>3.4924596548080444E-9</v>
      </c>
      <c r="X123" s="178"/>
      <c r="Y123" s="142" t="str">
        <f t="shared" ca="1" si="116"/>
        <v>Pass</v>
      </c>
      <c r="Z123" s="134" t="s">
        <v>238</v>
      </c>
      <c r="AA123" s="299"/>
      <c r="AB123" s="299"/>
    </row>
    <row r="124" spans="1:28" s="130" customFormat="1" ht="15" customHeight="1">
      <c r="A124" s="308" t="s">
        <v>107</v>
      </c>
      <c r="B124" s="70">
        <v>100000000</v>
      </c>
      <c r="C124" s="71" t="str">
        <f t="shared" ref="C124:C131" si="126">IF(OR(D124="FR",D124="US"),"Linear","Piecewise")</f>
        <v>Linear</v>
      </c>
      <c r="D124" s="71" t="s">
        <v>25</v>
      </c>
      <c r="E124" s="71">
        <v>3</v>
      </c>
      <c r="F124" s="71" t="s">
        <v>27</v>
      </c>
      <c r="G124" s="71" t="s">
        <v>76</v>
      </c>
      <c r="H124" s="72">
        <f t="shared" ref="H124:H131" ca="1" si="127">GetParRate(L124,C124,E124,$B$2,INDIRECT(D124&amp;"_LastDate"),INDIRECT(D124&amp;"_LastCPI"),INDIRECT(D124&amp;"_RefDate"),INDIRECT(D124&amp;"_RefCPI"),INDIRECT(D124&amp;"_INFDates"),INDIRECT(D124&amp;"_CPIs"),INDIRECT(D124&amp;"_Seaso"),INDIRECT(D124&amp;"_Fixings"),INDIRECT(I124&amp;"Hols"))</f>
        <v>2.3730000000000029E-2</v>
      </c>
      <c r="I124" s="71" t="str">
        <f t="shared" ref="I124:I131" si="128">IF(OR(D124="FR",D124="EUR"),"EUR",IF(D124="GB","GBP","USD"))</f>
        <v>EUR</v>
      </c>
      <c r="J124" s="71">
        <f t="shared" ref="J124:J131" si="129">IF(I124="GBP",0,2)</f>
        <v>2</v>
      </c>
      <c r="K124" s="73">
        <f t="shared" ref="K124:K131" ca="1" si="130">AddTenorToDateAsBD($B$2,J124&amp;"D",INDIRECT(I124&amp;"Hols"))</f>
        <v>41423</v>
      </c>
      <c r="L124" s="73">
        <f ca="1">AddTenorToDate(K124,GetNumsForString(G124),GetCharsForString(G124))</f>
        <v>52380</v>
      </c>
      <c r="M124" s="73">
        <f t="shared" ref="M124:M125" ca="1" si="131">AddTenorToDateAsBDModFol(L124,"0D",INDIRECT(I124&amp;"Hols"))</f>
        <v>52380</v>
      </c>
      <c r="N124" s="74">
        <f ca="1">IF(F124="Yes",B124*((1+H124)^TimeToMaturity(L124,K124,"30 / 360")-1),-B124*((1+H124)^TimeToMaturity(L124,K124,"30 / 360")-1))</f>
        <v>-102098415.70829292</v>
      </c>
      <c r="O124" s="73">
        <f t="shared" ref="O124:O131" ca="1" si="132">GetCPIDate(K124,E124,C124)</f>
        <v>41333</v>
      </c>
      <c r="P124" s="75">
        <f t="shared" ref="P124:P131" ca="1" si="133">GetReferenceCPI(K124,E124,C124,INDIRECT(D124&amp;"_Fixings"),FALSE)</f>
        <v>125.32903225806452</v>
      </c>
      <c r="Q124" s="73">
        <f t="shared" ca="1" si="101"/>
        <v>52290</v>
      </c>
      <c r="R124" s="76">
        <f t="shared" ca="1" si="113"/>
        <v>253.2879886160832</v>
      </c>
      <c r="S124" s="73">
        <f t="shared" si="114"/>
        <v>41421</v>
      </c>
      <c r="T124" s="77">
        <f t="shared" ca="1" si="115"/>
        <v>0.49615058493887298</v>
      </c>
      <c r="U124" s="78">
        <f ca="1">IF(F124="Yes",(-(R124/P124-1)*B124+N124)*T124,((R124/P124-1)*B124+N124)*T124)</f>
        <v>-2.1440337543528253E-7</v>
      </c>
      <c r="V124" s="183">
        <f ca="1">VLOOKUP(Z124,'MX PV'!$C$2:$G$134,5,FALSE)</f>
        <v>-4.3958425521850999E-7</v>
      </c>
      <c r="W124" s="105">
        <f t="shared" ca="1" si="102"/>
        <v>-2.2518087978322746E-7</v>
      </c>
      <c r="X124" s="178"/>
      <c r="Y124" s="142" t="str">
        <f t="shared" ca="1" si="116"/>
        <v>Pass</v>
      </c>
      <c r="Z124" s="123" t="s">
        <v>239</v>
      </c>
      <c r="AA124" s="299"/>
      <c r="AB124" s="299"/>
    </row>
    <row r="125" spans="1:28" s="130" customFormat="1">
      <c r="A125" s="309"/>
      <c r="B125" s="79">
        <v>100000000</v>
      </c>
      <c r="C125" s="80" t="str">
        <f t="shared" si="126"/>
        <v>Linear</v>
      </c>
      <c r="D125" s="80" t="s">
        <v>25</v>
      </c>
      <c r="E125" s="80">
        <v>3</v>
      </c>
      <c r="F125" s="80" t="s">
        <v>27</v>
      </c>
      <c r="G125" s="80" t="s">
        <v>64</v>
      </c>
      <c r="H125" s="81">
        <f t="shared" ca="1" si="127"/>
        <v>1.3789999999999303E-2</v>
      </c>
      <c r="I125" s="80" t="str">
        <f t="shared" si="128"/>
        <v>EUR</v>
      </c>
      <c r="J125" s="80">
        <f t="shared" si="129"/>
        <v>2</v>
      </c>
      <c r="K125" s="82">
        <f t="shared" ca="1" si="130"/>
        <v>41423</v>
      </c>
      <c r="L125" s="82">
        <f ca="1">AddTenorToDate(K125,GetNumsForString(G125),GetCharsForString(G125))</f>
        <v>41788</v>
      </c>
      <c r="M125" s="82">
        <f t="shared" ca="1" si="131"/>
        <v>41788</v>
      </c>
      <c r="N125" s="83">
        <f ca="1">IF(F125="Yes",B125*((1+H125)^TimeToMaturity(L125,K125,"30 / 360")-1),-B125*((1+H125)^TimeToMaturity(L125,K125,"30 / 360")-1))</f>
        <v>-1378999.9999999304</v>
      </c>
      <c r="O125" s="82">
        <f t="shared" ca="1" si="132"/>
        <v>41333</v>
      </c>
      <c r="P125" s="84">
        <f t="shared" ca="1" si="133"/>
        <v>125.32903225806452</v>
      </c>
      <c r="Q125" s="82">
        <f t="shared" ca="1" si="101"/>
        <v>41698</v>
      </c>
      <c r="R125" s="85">
        <f t="shared" ca="1" si="113"/>
        <v>127.05731961290313</v>
      </c>
      <c r="S125" s="82">
        <f t="shared" si="114"/>
        <v>41421</v>
      </c>
      <c r="T125" s="86">
        <f t="shared" ca="1" si="115"/>
        <v>0.9993667423704885</v>
      </c>
      <c r="U125" s="87">
        <f ca="1">IF(F125="Yes",(-(R125/P125-1)*B125+N125)*T125,((R125/P125-1)*B125+N125)*T125)</f>
        <v>0</v>
      </c>
      <c r="V125" s="183">
        <f ca="1">VLOOKUP(Z125,'MX PV'!$C$2:$G$134,5,FALSE)</f>
        <v>-4.7986395657062001E-7</v>
      </c>
      <c r="W125" s="105">
        <f t="shared" ca="1" si="102"/>
        <v>-4.7986395657062001E-7</v>
      </c>
      <c r="X125" s="178"/>
      <c r="Y125" s="142" t="str">
        <f t="shared" ca="1" si="116"/>
        <v>Pass</v>
      </c>
      <c r="Z125" s="123" t="s">
        <v>240</v>
      </c>
      <c r="AA125" s="299"/>
      <c r="AB125" s="299"/>
    </row>
    <row r="126" spans="1:28">
      <c r="A126" s="309"/>
      <c r="B126" s="79">
        <v>100000000</v>
      </c>
      <c r="C126" s="80" t="str">
        <f t="shared" si="126"/>
        <v>Piecewise</v>
      </c>
      <c r="D126" s="80" t="s">
        <v>23</v>
      </c>
      <c r="E126" s="80">
        <v>2</v>
      </c>
      <c r="F126" s="80" t="s">
        <v>27</v>
      </c>
      <c r="G126" s="80" t="s">
        <v>61</v>
      </c>
      <c r="H126" s="81">
        <f t="shared" ca="1" si="127"/>
        <v>2.7624197722081467E-2</v>
      </c>
      <c r="I126" s="80" t="str">
        <f t="shared" si="128"/>
        <v>GBP</v>
      </c>
      <c r="J126" s="80">
        <f t="shared" si="129"/>
        <v>0</v>
      </c>
      <c r="K126" s="82">
        <f t="shared" ca="1" si="130"/>
        <v>41422</v>
      </c>
      <c r="L126" s="82">
        <f ca="1">AddTenorToDate(K126,GetNumsForString(G126),GetCharsForString(G126))</f>
        <v>41606</v>
      </c>
      <c r="M126" s="82">
        <f t="shared" ref="M126:M135" ca="1" si="134">AddTenorToDateAsBDModFol(L126,"0D",INDIRECT(I126&amp;"Hols"))</f>
        <v>41606</v>
      </c>
      <c r="N126" s="83">
        <f ca="1">IF(F126="Yes",B126*((1+H126)^TimeToMaturity(L126,K126,"30 / 360")-1),-B126*((1+H126)^TimeToMaturity(L126,K126,"30 / 360")-1))</f>
        <v>-1371800.7002973875</v>
      </c>
      <c r="O126" s="82">
        <f t="shared" ca="1" si="132"/>
        <v>41334</v>
      </c>
      <c r="P126" s="84">
        <f t="shared" ca="1" si="133"/>
        <v>248.7</v>
      </c>
      <c r="Q126" s="82">
        <f t="shared" ca="1" si="101"/>
        <v>41518</v>
      </c>
      <c r="R126" s="85">
        <f t="shared" ca="1" si="113"/>
        <v>252.11166834163961</v>
      </c>
      <c r="S126" s="82">
        <f t="shared" si="114"/>
        <v>41421</v>
      </c>
      <c r="T126" s="86">
        <f t="shared" ca="1" si="115"/>
        <v>0.99802887712485233</v>
      </c>
      <c r="U126" s="87">
        <f ca="1">IF(F126="Yes",(-(R126/P126-1)*B126+N126)*T126,((R126/P126-1)*B126+N126)*T126)</f>
        <v>0</v>
      </c>
      <c r="V126" s="183">
        <f ca="1">VLOOKUP(Z126,'MX PV'!$C$2:$G$134,5,FALSE)</f>
        <v>1.6167759895324701E-6</v>
      </c>
      <c r="W126" s="105">
        <f t="shared" ca="1" si="102"/>
        <v>1.6167759895324701E-6</v>
      </c>
      <c r="X126" s="178"/>
      <c r="Y126" s="142" t="str">
        <f t="shared" ca="1" si="116"/>
        <v>Pass</v>
      </c>
      <c r="Z126" s="178" t="s">
        <v>301</v>
      </c>
      <c r="AA126" s="299"/>
      <c r="AB126" s="299"/>
    </row>
    <row r="127" spans="1:28">
      <c r="A127" s="309"/>
      <c r="B127" s="79">
        <v>100000000</v>
      </c>
      <c r="C127" s="80" t="str">
        <f t="shared" si="126"/>
        <v>Piecewise</v>
      </c>
      <c r="D127" s="80" t="s">
        <v>23</v>
      </c>
      <c r="E127" s="80">
        <v>2</v>
      </c>
      <c r="F127" s="80" t="s">
        <v>27</v>
      </c>
      <c r="G127" s="80" t="s">
        <v>78</v>
      </c>
      <c r="H127" s="81">
        <f t="shared" ca="1" si="127"/>
        <v>3.4210000000000074E-2</v>
      </c>
      <c r="I127" s="80" t="str">
        <f t="shared" si="128"/>
        <v>GBP</v>
      </c>
      <c r="J127" s="80">
        <f t="shared" si="129"/>
        <v>0</v>
      </c>
      <c r="K127" s="82">
        <f t="shared" ca="1" si="130"/>
        <v>41422</v>
      </c>
      <c r="L127" s="82">
        <f ca="1">AddTenorToDate(K127,GetNumsForString(G127),GetCharsForString(G127))</f>
        <v>59684</v>
      </c>
      <c r="M127" s="82">
        <f t="shared" ca="1" si="134"/>
        <v>59685</v>
      </c>
      <c r="N127" s="83">
        <f ca="1">IF(F127="Yes",B127*((1+H127)^TimeToMaturity(L127,K127,"30 / 360")-1),-B127*((1+H127)^TimeToMaturity(L127,K127,"30 / 360")-1))</f>
        <v>-437571996.56559658</v>
      </c>
      <c r="O127" s="82">
        <f t="shared" ca="1" si="132"/>
        <v>41334</v>
      </c>
      <c r="P127" s="84">
        <f t="shared" ca="1" si="133"/>
        <v>248.7</v>
      </c>
      <c r="Q127" s="82">
        <f t="shared" ca="1" si="101"/>
        <v>59596</v>
      </c>
      <c r="R127" s="85">
        <f t="shared" ca="1" si="113"/>
        <v>1336.9415554586387</v>
      </c>
      <c r="S127" s="82">
        <f t="shared" si="114"/>
        <v>41421</v>
      </c>
      <c r="T127" s="86">
        <f t="shared" ca="1" si="115"/>
        <v>0.21151679601323764</v>
      </c>
      <c r="U127" s="87">
        <f t="shared" ca="1" si="103"/>
        <v>0</v>
      </c>
      <c r="V127" s="183">
        <f ca="1">VLOOKUP(Z127,'MX PV'!$C$2:$G$134,5,FALSE)</f>
        <v>1.18732452392578E-4</v>
      </c>
      <c r="W127" s="105">
        <f ca="1">(V127-U127)/10</f>
        <v>1.18732452392578E-5</v>
      </c>
      <c r="X127" s="178"/>
      <c r="Y127" s="142" t="str">
        <f ca="1">IF(ABS(W127)&lt;$E$2,"Pass","Fail")</f>
        <v>Pass</v>
      </c>
      <c r="Z127" s="123" t="s">
        <v>242</v>
      </c>
      <c r="AA127" s="299"/>
      <c r="AB127" s="299"/>
    </row>
    <row r="128" spans="1:28">
      <c r="A128" s="309"/>
      <c r="B128" s="129">
        <v>100000000</v>
      </c>
      <c r="C128" s="127" t="str">
        <f t="shared" si="126"/>
        <v>Linear</v>
      </c>
      <c r="D128" s="127" t="s">
        <v>24</v>
      </c>
      <c r="E128" s="127">
        <v>3</v>
      </c>
      <c r="F128" s="127" t="s">
        <v>27</v>
      </c>
      <c r="G128" s="127" t="s">
        <v>36</v>
      </c>
      <c r="H128" s="125">
        <f t="shared" ca="1" si="127"/>
        <v>2.1930000000000005E-2</v>
      </c>
      <c r="I128" s="127" t="str">
        <f t="shared" si="128"/>
        <v>USD</v>
      </c>
      <c r="J128" s="127">
        <f t="shared" si="129"/>
        <v>2</v>
      </c>
      <c r="K128" s="128">
        <f t="shared" ca="1" si="130"/>
        <v>41423</v>
      </c>
      <c r="L128" s="128">
        <f ca="1">AddTenorToDate(K128,GetNumsForString(G128),GetCharsForString(G128))</f>
        <v>42519</v>
      </c>
      <c r="M128" s="128">
        <f t="shared" ca="1" si="134"/>
        <v>42521</v>
      </c>
      <c r="N128" s="135">
        <f ca="1">IF(F128="Yes",B128*((1+H128)^TimeToMaturity(L128,K128,"30 / 360")-1),-B128*((1+H128)^TimeToMaturity(L128,K128,"30 / 360")-1))</f>
        <v>-6724332.1383056995</v>
      </c>
      <c r="O128" s="128">
        <f t="shared" ca="1" si="132"/>
        <v>41333</v>
      </c>
      <c r="P128" s="133">
        <f t="shared" ca="1" si="133"/>
        <v>232.71425806451612</v>
      </c>
      <c r="Q128" s="128">
        <f t="shared" ca="1" si="101"/>
        <v>42429</v>
      </c>
      <c r="R128" s="131">
        <f t="shared" ca="1" si="113"/>
        <v>248.362737709968</v>
      </c>
      <c r="S128" s="128">
        <f t="shared" si="114"/>
        <v>41421</v>
      </c>
      <c r="T128" s="136">
        <f t="shared" ca="1" si="115"/>
        <v>0.98960866420933991</v>
      </c>
      <c r="U128" s="132">
        <f t="shared" ca="1" si="103"/>
        <v>-2.2119477336317447E-8</v>
      </c>
      <c r="V128" s="162">
        <f ca="1">VLOOKUP(Z128,'MX PV'!$C$2:$G$134,5,FALSE)</f>
        <v>2.328306436539E-8</v>
      </c>
      <c r="W128" s="141">
        <f t="shared" ca="1" si="102"/>
        <v>4.5402541701707447E-8</v>
      </c>
      <c r="X128" s="182"/>
      <c r="Y128" s="143" t="str">
        <f t="shared" ca="1" si="116"/>
        <v>Pass</v>
      </c>
      <c r="Z128" s="182" t="s">
        <v>300</v>
      </c>
      <c r="AA128" s="299"/>
      <c r="AB128" s="299"/>
    </row>
    <row r="129" spans="1:28" s="130" customFormat="1">
      <c r="A129" s="309"/>
      <c r="B129" s="129">
        <v>100000000</v>
      </c>
      <c r="C129" s="127" t="str">
        <f t="shared" si="126"/>
        <v>Linear</v>
      </c>
      <c r="D129" s="127" t="s">
        <v>24</v>
      </c>
      <c r="E129" s="127">
        <v>3</v>
      </c>
      <c r="F129" s="127" t="s">
        <v>27</v>
      </c>
      <c r="G129" s="127" t="s">
        <v>73</v>
      </c>
      <c r="H129" s="125">
        <f t="shared" ca="1" si="127"/>
        <v>2.8960000000000097E-2</v>
      </c>
      <c r="I129" s="127" t="str">
        <f t="shared" si="128"/>
        <v>USD</v>
      </c>
      <c r="J129" s="127">
        <f t="shared" si="129"/>
        <v>2</v>
      </c>
      <c r="K129" s="128">
        <f t="shared" ca="1" si="130"/>
        <v>41423</v>
      </c>
      <c r="L129" s="128">
        <f ca="1">AddTenorToDate(K129,GetNumsForString(G129),GetCharsForString(G129))</f>
        <v>46902</v>
      </c>
      <c r="M129" s="128">
        <f t="shared" ca="1" si="134"/>
        <v>46903</v>
      </c>
      <c r="N129" s="135">
        <f ca="1">IF(F129="Yes",B129*((1+H129)^TimeToMaturity(L129,K129,"30 / 360")-1),-B129*((1+H129)^TimeToMaturity(L129,K129,"30 / 360")-1))</f>
        <v>-53453706.781219102</v>
      </c>
      <c r="O129" s="128">
        <f t="shared" ca="1" si="132"/>
        <v>41333</v>
      </c>
      <c r="P129" s="133">
        <f t="shared" ca="1" si="133"/>
        <v>232.71425806451612</v>
      </c>
      <c r="Q129" s="128">
        <f t="shared" ca="1" si="101"/>
        <v>46812</v>
      </c>
      <c r="R129" s="131">
        <f t="shared" ca="1" si="113"/>
        <v>357.10865520841196</v>
      </c>
      <c r="S129" s="128">
        <f t="shared" si="114"/>
        <v>41421</v>
      </c>
      <c r="T129" s="136">
        <f t="shared" ca="1" si="115"/>
        <v>0.67907406754530908</v>
      </c>
      <c r="U129" s="132">
        <f t="shared" ca="1" si="103"/>
        <v>-3.0356976429163329E-8</v>
      </c>
      <c r="V129" s="162">
        <f ca="1">VLOOKUP(Z129,'MX PV'!$C$2:$G$134,5,FALSE)</f>
        <v>5.4165720939636203E-5</v>
      </c>
      <c r="W129" s="141">
        <f t="shared" ca="1" si="102"/>
        <v>5.4196077916065365E-5</v>
      </c>
      <c r="X129" s="182"/>
      <c r="Y129" s="143" t="str">
        <f t="shared" ca="1" si="116"/>
        <v>Pass</v>
      </c>
      <c r="Z129" s="134" t="s">
        <v>244</v>
      </c>
      <c r="AA129" s="299"/>
      <c r="AB129" s="299"/>
    </row>
    <row r="130" spans="1:28">
      <c r="A130" s="309"/>
      <c r="B130" s="79">
        <v>100000000</v>
      </c>
      <c r="C130" s="80" t="str">
        <f t="shared" si="126"/>
        <v>Piecewise</v>
      </c>
      <c r="D130" s="80" t="s">
        <v>22</v>
      </c>
      <c r="E130" s="80">
        <v>3</v>
      </c>
      <c r="F130" s="80" t="s">
        <v>27</v>
      </c>
      <c r="G130" s="80" t="s">
        <v>75</v>
      </c>
      <c r="H130" s="81">
        <f t="shared" ca="1" si="127"/>
        <v>2.2440000000000015E-2</v>
      </c>
      <c r="I130" s="80" t="str">
        <f t="shared" si="128"/>
        <v>EUR</v>
      </c>
      <c r="J130" s="80">
        <f t="shared" si="129"/>
        <v>2</v>
      </c>
      <c r="K130" s="82">
        <f t="shared" ca="1" si="130"/>
        <v>41423</v>
      </c>
      <c r="L130" s="82">
        <f ca="1">AddTenorToDate(K130,GetNumsForString(G130),GetCharsForString(G130))</f>
        <v>50554</v>
      </c>
      <c r="M130" s="82">
        <f t="shared" ca="1" si="134"/>
        <v>50556</v>
      </c>
      <c r="N130" s="83">
        <f ca="1">IF(F130="Yes",B130*((1+H130)^TimeToMaturity(L130,K130,"30 / 360")-1),-B130*((1+H130)^TimeToMaturity(L130,K130,"30 / 360")-1))</f>
        <v>-74158947.50627096</v>
      </c>
      <c r="O130" s="82">
        <f t="shared" ca="1" si="132"/>
        <v>41306</v>
      </c>
      <c r="P130" s="84">
        <f t="shared" ca="1" si="133"/>
        <v>115.55</v>
      </c>
      <c r="Q130" s="82">
        <f t="shared" ca="1" si="101"/>
        <v>50437</v>
      </c>
      <c r="R130" s="85">
        <f t="shared" ca="1" si="113"/>
        <v>201.24066384349609</v>
      </c>
      <c r="S130" s="82">
        <f t="shared" si="114"/>
        <v>41421</v>
      </c>
      <c r="T130" s="86">
        <f t="shared" ca="1" si="115"/>
        <v>0.56122699372829665</v>
      </c>
      <c r="U130" s="87">
        <f t="shared" ca="1" si="103"/>
        <v>0</v>
      </c>
      <c r="V130" s="183">
        <f ca="1">VLOOKUP(Z130,'MX PV'!$C$2:$G$134,5,FALSE)</f>
        <v>1.7136335372925001E-7</v>
      </c>
      <c r="W130" s="105">
        <f t="shared" ca="1" si="102"/>
        <v>1.7136335372925001E-7</v>
      </c>
      <c r="X130" s="178"/>
      <c r="Y130" s="142" t="str">
        <f t="shared" ca="1" si="116"/>
        <v>Pass</v>
      </c>
      <c r="Z130" s="134" t="s">
        <v>245</v>
      </c>
      <c r="AA130" s="299"/>
      <c r="AB130" s="299"/>
    </row>
    <row r="131" spans="1:28">
      <c r="A131" s="310"/>
      <c r="B131" s="88">
        <v>100000000</v>
      </c>
      <c r="C131" s="172" t="str">
        <f t="shared" si="126"/>
        <v>Piecewise</v>
      </c>
      <c r="D131" s="172" t="s">
        <v>22</v>
      </c>
      <c r="E131" s="172">
        <v>3</v>
      </c>
      <c r="F131" s="172" t="s">
        <v>27</v>
      </c>
      <c r="G131" s="172" t="s">
        <v>66</v>
      </c>
      <c r="H131" s="89">
        <f t="shared" ca="1" si="127"/>
        <v>1.540000000000008E-2</v>
      </c>
      <c r="I131" s="172" t="str">
        <f t="shared" si="128"/>
        <v>EUR</v>
      </c>
      <c r="J131" s="172">
        <f t="shared" si="129"/>
        <v>2</v>
      </c>
      <c r="K131" s="90">
        <f t="shared" ca="1" si="130"/>
        <v>41423</v>
      </c>
      <c r="L131" s="90">
        <f ca="1">AddTenorToDate(K131,GetNumsForString(G131),GetCharsForString(G131))</f>
        <v>43249</v>
      </c>
      <c r="M131" s="90">
        <f t="shared" ca="1" si="134"/>
        <v>43249</v>
      </c>
      <c r="N131" s="91">
        <f ca="1">IF(F131="Yes",B131*((1+H131)^TimeToMaturity(L131,K131,"30 / 360")-1),-B131*((1+H131)^TimeToMaturity(L131,K131,"30 / 360")-1))</f>
        <v>-7940840.4730499256</v>
      </c>
      <c r="O131" s="90">
        <f t="shared" ca="1" si="132"/>
        <v>41306</v>
      </c>
      <c r="P131" s="92">
        <f t="shared" ca="1" si="133"/>
        <v>115.55</v>
      </c>
      <c r="Q131" s="90">
        <f t="shared" ca="1" si="101"/>
        <v>43132</v>
      </c>
      <c r="R131" s="93">
        <f t="shared" ca="1" si="113"/>
        <v>124.72564116660919</v>
      </c>
      <c r="S131" s="90">
        <f t="shared" si="114"/>
        <v>41421</v>
      </c>
      <c r="T131" s="94">
        <f t="shared" ca="1" si="115"/>
        <v>0.96952993448403668</v>
      </c>
      <c r="U131" s="95">
        <f t="shared" ca="1" si="103"/>
        <v>0</v>
      </c>
      <c r="V131" s="183">
        <f ca="1">VLOOKUP(Z131,'MX PV'!$C$2:$G$134,5,FALSE)</f>
        <v>-2.2351741790769999E-8</v>
      </c>
      <c r="W131" s="105">
        <f t="shared" ca="1" si="102"/>
        <v>-2.2351741790769999E-8</v>
      </c>
      <c r="X131" s="178"/>
      <c r="Y131" s="142" t="str">
        <f t="shared" ca="1" si="116"/>
        <v>Pass</v>
      </c>
      <c r="Z131" s="134" t="s">
        <v>246</v>
      </c>
      <c r="AA131" s="299"/>
      <c r="AB131" s="299"/>
    </row>
    <row r="132" spans="1:28" ht="15" customHeight="1">
      <c r="A132" s="308" t="s">
        <v>106</v>
      </c>
      <c r="B132" s="70">
        <v>100000000</v>
      </c>
      <c r="C132" s="71" t="str">
        <f t="shared" ref="C132:C135" si="135">IF(OR(D132="FR",D132="US"),"Linear","Piecewise")</f>
        <v>Piecewise</v>
      </c>
      <c r="D132" s="71" t="s">
        <v>23</v>
      </c>
      <c r="E132" s="71">
        <v>2</v>
      </c>
      <c r="F132" s="71" t="s">
        <v>27</v>
      </c>
      <c r="G132" s="71" t="s">
        <v>62</v>
      </c>
      <c r="H132" s="72">
        <v>8.9999999999999993E-3</v>
      </c>
      <c r="I132" s="71" t="str">
        <f t="shared" ref="I132:I135" si="136">IF(OR(D132="FR",D132="EUR"),"EUR",IF(D132="GB","GBP","USD"))</f>
        <v>GBP</v>
      </c>
      <c r="J132" s="71">
        <f t="shared" ref="J132:J135" si="137">IF(I132="GBP",0,2)</f>
        <v>0</v>
      </c>
      <c r="K132" s="73">
        <f>AddTenorToDate($B$3,6,"M")</f>
        <v>41240</v>
      </c>
      <c r="L132" s="73">
        <f>AddTenorToDate(K132,GetNumsForString(G132),GetCharsForString(G132))</f>
        <v>41482</v>
      </c>
      <c r="M132" s="73">
        <f t="shared" ca="1" si="134"/>
        <v>41484</v>
      </c>
      <c r="N132" s="74">
        <f>IF(F132="Yes",B132*((1+H132)^TimeToMaturity(L132,K132,"30 / 360")-1),-B132*((1+H132)^TimeToMaturity(L132,K132,"30 / 360")-1))</f>
        <v>-599103.58121266775</v>
      </c>
      <c r="O132" s="73">
        <f t="shared" ref="O132:O135" si="138">GetCPIDate(K132,E132,C132)</f>
        <v>41153</v>
      </c>
      <c r="P132" s="75">
        <f t="shared" ref="P132:P135" ca="1" si="139">GetReferenceCPI(K132,E132,C132,INDIRECT(D132&amp;"_Fixings"),FALSE)</f>
        <v>244.2</v>
      </c>
      <c r="Q132" s="73">
        <f t="shared" ca="1" si="101"/>
        <v>41395</v>
      </c>
      <c r="R132" s="76">
        <f t="shared" ca="1" si="113"/>
        <v>249.6134488787886</v>
      </c>
      <c r="S132" s="73">
        <f t="shared" si="114"/>
        <v>41421</v>
      </c>
      <c r="T132" s="77">
        <f t="shared" ca="1" si="115"/>
        <v>0.99927875608987216</v>
      </c>
      <c r="U132" s="78">
        <f t="shared" ca="1" si="103"/>
        <v>1616539.190894933</v>
      </c>
      <c r="V132" s="101">
        <f ca="1">VLOOKUP(Z132,'MX PV'!$C$2:$G$134,5,FALSE)</f>
        <v>1616539.19089497</v>
      </c>
      <c r="W132" s="114">
        <f t="shared" ca="1" si="102"/>
        <v>3.7020072340965271E-8</v>
      </c>
      <c r="X132" s="178"/>
      <c r="Y132" s="142" t="str">
        <f t="shared" ca="1" si="116"/>
        <v>Pass</v>
      </c>
      <c r="Z132" s="123" t="s">
        <v>247</v>
      </c>
      <c r="AA132" s="299"/>
      <c r="AB132" s="299"/>
    </row>
    <row r="133" spans="1:28" s="130" customFormat="1">
      <c r="A133" s="309"/>
      <c r="B133" s="129">
        <v>100000000</v>
      </c>
      <c r="C133" s="127" t="str">
        <f t="shared" si="135"/>
        <v>Piecewise</v>
      </c>
      <c r="D133" s="127" t="s">
        <v>22</v>
      </c>
      <c r="E133" s="127">
        <v>3</v>
      </c>
      <c r="F133" s="127" t="s">
        <v>27</v>
      </c>
      <c r="G133" s="127" t="s">
        <v>63</v>
      </c>
      <c r="H133" s="125">
        <v>1.4999999999999999E-2</v>
      </c>
      <c r="I133" s="127" t="str">
        <f t="shared" si="136"/>
        <v>EUR</v>
      </c>
      <c r="J133" s="127">
        <f t="shared" si="137"/>
        <v>2</v>
      </c>
      <c r="K133" s="128">
        <f>AddTenorToDate($B$3,6,"M")</f>
        <v>41240</v>
      </c>
      <c r="L133" s="128">
        <f>AddTenorToDate(K133,GetNumsForString(G133),GetCharsForString(G133))</f>
        <v>41513</v>
      </c>
      <c r="M133" s="128">
        <f t="shared" ca="1" si="134"/>
        <v>41513</v>
      </c>
      <c r="N133" s="135">
        <f>IF(F133="Yes",B133*((1+H133)^TimeToMaturity(L133,K133,"30 / 360")-1),-B133*((1+H133)^TimeToMaturity(L133,K133,"30 / 360")-1))</f>
        <v>-1122903.6984303331</v>
      </c>
      <c r="O133" s="128">
        <f t="shared" si="138"/>
        <v>41122</v>
      </c>
      <c r="P133" s="133">
        <f t="shared" ca="1" si="139"/>
        <v>115.11</v>
      </c>
      <c r="Q133" s="128">
        <f t="shared" ca="1" si="101"/>
        <v>41395</v>
      </c>
      <c r="R133" s="131">
        <f t="shared" ca="1" si="113"/>
        <v>116.36031455638492</v>
      </c>
      <c r="S133" s="128">
        <f t="shared" si="114"/>
        <v>41421</v>
      </c>
      <c r="T133" s="136">
        <f t="shared" ca="1" si="115"/>
        <v>0.99982420760662372</v>
      </c>
      <c r="U133" s="132">
        <f t="shared" ca="1" si="103"/>
        <v>-36706.160985908697</v>
      </c>
      <c r="V133" s="154">
        <f ca="1">VLOOKUP(Z133,'MX PV'!$C$2:$G$134,5,FALSE)</f>
        <v>-36706.1609859003</v>
      </c>
      <c r="W133" s="141">
        <f t="shared" ca="1" si="102"/>
        <v>8.3964550867676735E-9</v>
      </c>
      <c r="X133" s="182"/>
      <c r="Y133" s="143" t="str">
        <f t="shared" ca="1" si="116"/>
        <v>Pass</v>
      </c>
      <c r="Z133" s="134" t="s">
        <v>248</v>
      </c>
      <c r="AA133" s="299"/>
      <c r="AB133" s="299"/>
    </row>
    <row r="134" spans="1:28">
      <c r="A134" s="309"/>
      <c r="B134" s="79">
        <v>100000000</v>
      </c>
      <c r="C134" s="80" t="str">
        <f t="shared" si="135"/>
        <v>Linear</v>
      </c>
      <c r="D134" s="80" t="s">
        <v>24</v>
      </c>
      <c r="E134" s="80">
        <v>3</v>
      </c>
      <c r="F134" s="80" t="s">
        <v>27</v>
      </c>
      <c r="G134" s="80" t="s">
        <v>62</v>
      </c>
      <c r="H134" s="81">
        <v>1.7000000000000001E-2</v>
      </c>
      <c r="I134" s="80" t="str">
        <f t="shared" si="136"/>
        <v>USD</v>
      </c>
      <c r="J134" s="80">
        <f t="shared" si="137"/>
        <v>2</v>
      </c>
      <c r="K134" s="82">
        <f>AddTenorToDate($B$3,6,"M")</f>
        <v>41240</v>
      </c>
      <c r="L134" s="82">
        <f>AddTenorToDate(K134,GetNumsForString(G134),GetCharsForString(G134))</f>
        <v>41482</v>
      </c>
      <c r="M134" s="82">
        <f t="shared" ca="1" si="134"/>
        <v>41484</v>
      </c>
      <c r="N134" s="83">
        <f>IF(F134="Yes",B134*((1+H134)^TimeToMaturity(L134,K134,"30 / 360")-1),-B134*((1+H134)^TimeToMaturity(L134,K134,"30 / 360")-1))</f>
        <v>-1130146.2460488353</v>
      </c>
      <c r="O134" s="82">
        <f t="shared" si="138"/>
        <v>41148</v>
      </c>
      <c r="P134" s="84">
        <f t="shared" ca="1" si="139"/>
        <v>231.26993333333334</v>
      </c>
      <c r="Q134" s="82">
        <f t="shared" ca="1" si="101"/>
        <v>41391</v>
      </c>
      <c r="R134" s="85">
        <f t="shared" ca="1" si="113"/>
        <v>232.61780916239377</v>
      </c>
      <c r="S134" s="82">
        <f t="shared" si="114"/>
        <v>41421</v>
      </c>
      <c r="T134" s="86">
        <f t="shared" ca="1" si="115"/>
        <v>0.99981083010266647</v>
      </c>
      <c r="U134" s="87">
        <f t="shared" ca="1" si="103"/>
        <v>-547227.72167470737</v>
      </c>
      <c r="V134" s="102">
        <f ca="1">VLOOKUP(Z134,'MX PV'!$C$2:$G$134,5,FALSE)</f>
        <v>-544340.89389988</v>
      </c>
      <c r="W134" s="105">
        <f t="shared" ca="1" si="102"/>
        <v>2886.8277748273686</v>
      </c>
      <c r="X134" s="178"/>
      <c r="Y134" s="142" t="str">
        <f t="shared" ca="1" si="116"/>
        <v>Fail</v>
      </c>
      <c r="Z134" s="123" t="s">
        <v>249</v>
      </c>
      <c r="AA134" s="299"/>
      <c r="AB134" s="299"/>
    </row>
    <row r="135" spans="1:28">
      <c r="A135" s="310"/>
      <c r="B135" s="88">
        <v>100000000</v>
      </c>
      <c r="C135" s="172" t="str">
        <f t="shared" si="135"/>
        <v>Linear</v>
      </c>
      <c r="D135" s="172" t="s">
        <v>25</v>
      </c>
      <c r="E135" s="172">
        <v>3</v>
      </c>
      <c r="F135" s="172" t="s">
        <v>27</v>
      </c>
      <c r="G135" s="172" t="s">
        <v>62</v>
      </c>
      <c r="H135" s="89">
        <v>1.4E-2</v>
      </c>
      <c r="I135" s="172" t="str">
        <f t="shared" si="136"/>
        <v>EUR</v>
      </c>
      <c r="J135" s="172">
        <f t="shared" si="137"/>
        <v>2</v>
      </c>
      <c r="K135" s="90">
        <f>AddTenorToDate($B$3,6,"M")</f>
        <v>41240</v>
      </c>
      <c r="L135" s="90">
        <f>AddTenorToDate(K135,GetNumsForString(G135),GetCharsForString(G135))</f>
        <v>41482</v>
      </c>
      <c r="M135" s="90">
        <f t="shared" ca="1" si="134"/>
        <v>41484</v>
      </c>
      <c r="N135" s="91">
        <f>IF(F135="Yes",B135*((1+H135)^TimeToMaturity(L135,K135,"30 / 360")-1),-B135*((1+H135)^TimeToMaturity(L135,K135,"30 / 360")-1))</f>
        <v>-931168.9965319836</v>
      </c>
      <c r="O135" s="90">
        <f t="shared" si="138"/>
        <v>41148</v>
      </c>
      <c r="P135" s="92">
        <f t="shared" ca="1" si="139"/>
        <v>124.55666666666667</v>
      </c>
      <c r="Q135" s="90">
        <f t="shared" ca="1" si="101"/>
        <v>41391</v>
      </c>
      <c r="R135" s="93">
        <f t="shared" ca="1" si="113"/>
        <v>125.23745562490367</v>
      </c>
      <c r="S135" s="90">
        <f t="shared" si="114"/>
        <v>41421</v>
      </c>
      <c r="T135" s="94">
        <f t="shared" ca="1" si="115"/>
        <v>0.99987419743079331</v>
      </c>
      <c r="U135" s="95">
        <f t="shared" ca="1" si="103"/>
        <v>-384550.9459396248</v>
      </c>
      <c r="V135" s="103">
        <f ca="1">VLOOKUP(Z135,'MX PV'!$C$2:$G$134,5,FALSE)</f>
        <v>-387795.546680203</v>
      </c>
      <c r="W135" s="115">
        <f t="shared" ca="1" si="102"/>
        <v>-3244.6007405782002</v>
      </c>
      <c r="X135" s="178"/>
      <c r="Y135" s="142" t="str">
        <f t="shared" ca="1" si="116"/>
        <v>Fail</v>
      </c>
      <c r="Z135" s="123" t="s">
        <v>250</v>
      </c>
      <c r="AA135" s="299"/>
      <c r="AB135" s="299"/>
    </row>
    <row r="136" spans="1:28" ht="15" customHeight="1">
      <c r="A136" s="308" t="s">
        <v>108</v>
      </c>
      <c r="B136" s="70">
        <v>100000000</v>
      </c>
      <c r="C136" s="71" t="str">
        <f t="shared" ref="C136:C139" si="140">IF(OR(D136="FR",D136="US"),"Linear","Piecewise")</f>
        <v>Piecewise</v>
      </c>
      <c r="D136" s="71" t="s">
        <v>23</v>
      </c>
      <c r="E136" s="71">
        <v>2</v>
      </c>
      <c r="F136" s="71" t="s">
        <v>27</v>
      </c>
      <c r="G136" s="71" t="s">
        <v>109</v>
      </c>
      <c r="H136" s="72">
        <v>2.01E-2</v>
      </c>
      <c r="I136" s="71" t="str">
        <f t="shared" ref="I136:I139" si="141">IF(OR(D136="FR",D136="EUR"),"EUR",IF(D136="GB","GBP","USD"))</f>
        <v>GBP</v>
      </c>
      <c r="J136" s="71">
        <f t="shared" ref="J136:J139" si="142">IF(I136="GBP",0,2)</f>
        <v>0</v>
      </c>
      <c r="K136" s="73">
        <f ca="1">AddTenorToDateAsBD($B$2,J136&amp;"D",INDIRECT(I136&amp;"Hols"))</f>
        <v>41422</v>
      </c>
      <c r="L136" s="73">
        <f ca="1">AddTenorToDate(K136,GetNumsForString(G136),GetCharsForString(G136))</f>
        <v>47631</v>
      </c>
      <c r="M136" s="73">
        <f t="shared" ref="M136:M139" ca="1" si="143">AddTenorToDateAsBDModFol(L136,"0D",INDIRECT(I136&amp;"Hols"))</f>
        <v>47631</v>
      </c>
      <c r="N136" s="74">
        <f ca="1">IF(F136="Yes",B136*((1+H136)^TimeToMaturity(L136,K136,"30 / 360")-1),-B136*((1+H136)^TimeToMaturity(L136,K136,"30 / 360")-1))</f>
        <v>-40257698.61695727</v>
      </c>
      <c r="O136" s="73">
        <f t="shared" ref="O136:O139" ca="1" si="144">GetCPIDate(K136,E136,C136)</f>
        <v>41334</v>
      </c>
      <c r="P136" s="75">
        <f t="shared" ref="P136:P139" ca="1" si="145">GetReferenceCPI(K136,E136,C136,INDIRECT(D136&amp;"_Fixings"),FALSE)</f>
        <v>248.7</v>
      </c>
      <c r="Q136" s="73">
        <f t="shared" ca="1" si="101"/>
        <v>47543</v>
      </c>
      <c r="R136" s="76">
        <f t="shared" ca="1" si="113"/>
        <v>420.42757220601158</v>
      </c>
      <c r="S136" s="73">
        <f t="shared" si="114"/>
        <v>41421</v>
      </c>
      <c r="T136" s="77">
        <f t="shared" ca="1" si="115"/>
        <v>0.65371951118545879</v>
      </c>
      <c r="U136" s="78">
        <f t="shared" ca="1" si="103"/>
        <v>18822147.593910214</v>
      </c>
      <c r="V136" s="183">
        <f ca="1">VLOOKUP(Z136,'MX PV'!$C$2:$G$134,5,FALSE)</f>
        <v>18822147.5939674</v>
      </c>
      <c r="W136" s="105">
        <f t="shared" ca="1" si="102"/>
        <v>5.7186931371688843E-5</v>
      </c>
      <c r="X136" s="178"/>
      <c r="Y136" s="142" t="str">
        <f t="shared" ca="1" si="116"/>
        <v>Pass</v>
      </c>
      <c r="Z136" s="123" t="s">
        <v>251</v>
      </c>
      <c r="AA136" s="299"/>
      <c r="AB136" s="299"/>
    </row>
    <row r="137" spans="1:28">
      <c r="A137" s="309"/>
      <c r="B137" s="129">
        <v>100000000</v>
      </c>
      <c r="C137" s="127" t="str">
        <f t="shared" si="140"/>
        <v>Piecewise</v>
      </c>
      <c r="D137" s="127" t="s">
        <v>22</v>
      </c>
      <c r="E137" s="127">
        <v>3</v>
      </c>
      <c r="F137" s="127" t="s">
        <v>27</v>
      </c>
      <c r="G137" s="127" t="s">
        <v>110</v>
      </c>
      <c r="H137" s="125">
        <v>-0.02</v>
      </c>
      <c r="I137" s="127" t="str">
        <f t="shared" si="141"/>
        <v>EUR</v>
      </c>
      <c r="J137" s="127">
        <f t="shared" si="142"/>
        <v>2</v>
      </c>
      <c r="K137" s="128">
        <f ca="1">AddTenorToDateAsBD($B$2,J137&amp;"D",INDIRECT(I137&amp;"Hols"))</f>
        <v>41423</v>
      </c>
      <c r="L137" s="128">
        <f ca="1">AddTenorToDate(K137,GetNumsForString(G137),GetCharsForString(G137))</f>
        <v>50189</v>
      </c>
      <c r="M137" s="128">
        <f t="shared" ca="1" si="143"/>
        <v>50189</v>
      </c>
      <c r="N137" s="135">
        <f ca="1">IF(F137="Yes",B137*((1+H137)^TimeToMaturity(L137,K137,"30 / 360")-1),-B137*((1+H137)^TimeToMaturity(L137,K137,"30 / 360")-1))</f>
        <v>38421966.349092193</v>
      </c>
      <c r="O137" s="128">
        <f t="shared" ca="1" si="144"/>
        <v>41306</v>
      </c>
      <c r="P137" s="133">
        <f t="shared" ca="1" si="145"/>
        <v>115.55</v>
      </c>
      <c r="Q137" s="128">
        <f t="shared" ca="1" si="101"/>
        <v>50072</v>
      </c>
      <c r="R137" s="131">
        <f t="shared" ca="1" si="113"/>
        <v>196.30853053729828</v>
      </c>
      <c r="S137" s="128">
        <f t="shared" si="114"/>
        <v>41421</v>
      </c>
      <c r="T137" s="136">
        <f t="shared" ca="1" si="115"/>
        <v>0.57646276793335582</v>
      </c>
      <c r="U137" s="132">
        <f t="shared" ca="1" si="103"/>
        <v>62438132.982559986</v>
      </c>
      <c r="V137" s="140">
        <f ca="1">VLOOKUP(Z137,'MX PV'!$C$2:$G$134,5,FALSE)</f>
        <v>62438132.982560098</v>
      </c>
      <c r="W137" s="141">
        <f t="shared" ca="1" si="102"/>
        <v>1.1175870895385742E-7</v>
      </c>
      <c r="X137" s="182"/>
      <c r="Y137" s="143" t="str">
        <f t="shared" ca="1" si="116"/>
        <v>Pass</v>
      </c>
      <c r="Z137" s="134" t="s">
        <v>252</v>
      </c>
      <c r="AA137" s="299"/>
      <c r="AB137" s="299"/>
    </row>
    <row r="138" spans="1:28">
      <c r="A138" s="309"/>
      <c r="B138" s="79">
        <v>100000000</v>
      </c>
      <c r="C138" s="80" t="str">
        <f t="shared" si="140"/>
        <v>Linear</v>
      </c>
      <c r="D138" s="80" t="s">
        <v>24</v>
      </c>
      <c r="E138" s="80">
        <v>3</v>
      </c>
      <c r="F138" s="80" t="s">
        <v>27</v>
      </c>
      <c r="G138" s="80" t="s">
        <v>111</v>
      </c>
      <c r="H138" s="81">
        <v>0</v>
      </c>
      <c r="I138" s="80" t="str">
        <f t="shared" si="141"/>
        <v>USD</v>
      </c>
      <c r="J138" s="80">
        <f t="shared" si="142"/>
        <v>2</v>
      </c>
      <c r="K138" s="82">
        <f ca="1">AddTenorToDateAsBD($B$2,J138&amp;"D",INDIRECT(I138&amp;"Hols"))</f>
        <v>41423</v>
      </c>
      <c r="L138" s="82">
        <f ca="1">AddTenorToDate(K138,GetNumsForString(G138),GetCharsForString(G138))</f>
        <v>45441</v>
      </c>
      <c r="M138" s="82">
        <f t="shared" ca="1" si="143"/>
        <v>45441</v>
      </c>
      <c r="N138" s="83">
        <f ca="1">IF(F138="Yes",B138*((1+H138)^TimeToMaturity(L138,K138,"30 / 360")-1),-B138*((1+H138)^TimeToMaturity(L138,K138,"30 / 360")-1))</f>
        <v>0</v>
      </c>
      <c r="O138" s="82">
        <f t="shared" ca="1" si="144"/>
        <v>41333</v>
      </c>
      <c r="P138" s="84">
        <f t="shared" ca="1" si="145"/>
        <v>232.71425806451612</v>
      </c>
      <c r="Q138" s="82">
        <f t="shared" ca="1" si="101"/>
        <v>45351</v>
      </c>
      <c r="R138" s="85">
        <f t="shared" ca="1" si="113"/>
        <v>314.292548260785</v>
      </c>
      <c r="S138" s="82">
        <f t="shared" si="114"/>
        <v>41421</v>
      </c>
      <c r="T138" s="86">
        <f t="shared" ref="T138:T139" ca="1" si="146">GetDF(M138,$B$2,INDIRECT(I138&amp;"_Disc"))/GetDF(S138,$B$2,INDIRECT(I138&amp;"_Disc"))</f>
        <v>0.79190569868440686</v>
      </c>
      <c r="U138" s="87">
        <f t="shared" ca="1" si="103"/>
        <v>27760358.747527059</v>
      </c>
      <c r="V138" s="183">
        <f ca="1">VLOOKUP(Z138,'MX PV'!$C$2:$G$134,5,FALSE)</f>
        <v>27760358.747561298</v>
      </c>
      <c r="W138" s="105">
        <f t="shared" ca="1" si="102"/>
        <v>3.4239143133163452E-5</v>
      </c>
      <c r="X138" s="178"/>
      <c r="Y138" s="142" t="str">
        <f t="shared" ca="1" si="116"/>
        <v>Pass</v>
      </c>
      <c r="Z138" s="134" t="s">
        <v>253</v>
      </c>
      <c r="AA138" s="299"/>
      <c r="AB138" s="299"/>
    </row>
    <row r="139" spans="1:28" ht="15.75" thickBot="1">
      <c r="A139" s="310"/>
      <c r="B139" s="88">
        <v>100000000</v>
      </c>
      <c r="C139" s="172" t="str">
        <f t="shared" si="140"/>
        <v>Linear</v>
      </c>
      <c r="D139" s="172" t="s">
        <v>25</v>
      </c>
      <c r="E139" s="172">
        <v>3</v>
      </c>
      <c r="F139" s="172" t="s">
        <v>26</v>
      </c>
      <c r="G139" s="172" t="s">
        <v>112</v>
      </c>
      <c r="H139" s="89">
        <v>3.5000000000000003E-2</v>
      </c>
      <c r="I139" s="172" t="str">
        <f t="shared" si="141"/>
        <v>EUR</v>
      </c>
      <c r="J139" s="172">
        <f t="shared" si="142"/>
        <v>2</v>
      </c>
      <c r="K139" s="90">
        <f ca="1">AddTenorToDateAsBD($B$2,J139&amp;"D",INDIRECT(I139&amp;"Hols"))</f>
        <v>41423</v>
      </c>
      <c r="L139" s="90">
        <f ca="1">AddTenorToDate(K139,GetNumsForString(G139),GetCharsForString(G139))</f>
        <v>52015</v>
      </c>
      <c r="M139" s="90">
        <f t="shared" ca="1" si="143"/>
        <v>52015</v>
      </c>
      <c r="N139" s="91">
        <f ca="1">IF(F139="Yes",B139*((1+H139)^TimeToMaturity(L139,K139,"30 / 360")-1),-B139*((1+H139)^TimeToMaturity(L139,K139,"30 / 360")-1))</f>
        <v>171187797.55580938</v>
      </c>
      <c r="O139" s="90">
        <f t="shared" ca="1" si="144"/>
        <v>41333</v>
      </c>
      <c r="P139" s="92">
        <f t="shared" ca="1" si="145"/>
        <v>125.32903225806452</v>
      </c>
      <c r="Q139" s="90">
        <f t="shared" ref="Q139" ca="1" si="147">GetCPIDateModFol(L139,E139,C139,INDIRECT(I139&amp;"Hols"))</f>
        <v>51925</v>
      </c>
      <c r="R139" s="93">
        <f t="shared" ca="1" si="113"/>
        <v>247.20231500502211</v>
      </c>
      <c r="S139" s="90">
        <f t="shared" si="114"/>
        <v>41421</v>
      </c>
      <c r="T139" s="94">
        <f t="shared" ca="1" si="146"/>
        <v>0.50864149375197243</v>
      </c>
      <c r="U139" s="95">
        <f t="shared" ca="1" si="103"/>
        <v>37611566.022831164</v>
      </c>
      <c r="V139" s="103">
        <f ca="1">VLOOKUP(Z139,'MX PV'!$C$2:$G$134,5,FALSE)</f>
        <v>37611566.022830904</v>
      </c>
      <c r="W139" s="115">
        <f t="shared" ca="1" si="102"/>
        <v>-2.6077032089233398E-7</v>
      </c>
      <c r="X139" s="178"/>
      <c r="Y139" s="144" t="str">
        <f t="shared" ca="1" si="116"/>
        <v>Pass</v>
      </c>
      <c r="Z139" s="123" t="s">
        <v>254</v>
      </c>
      <c r="AA139" s="299"/>
      <c r="AB139" s="299"/>
    </row>
    <row r="140" spans="1:28">
      <c r="N140" s="104"/>
      <c r="R140" s="50"/>
      <c r="T140" s="57"/>
      <c r="U140" s="50"/>
      <c r="AA140" s="299"/>
      <c r="AB140" s="299"/>
    </row>
    <row r="141" spans="1:28">
      <c r="H141" s="125"/>
      <c r="N141" s="104"/>
      <c r="AA141" s="299"/>
      <c r="AB141" s="299"/>
    </row>
    <row r="142" spans="1:28">
      <c r="P142" s="126"/>
      <c r="U142" s="139"/>
      <c r="AA142" s="299"/>
      <c r="AB142" s="299"/>
    </row>
    <row r="143" spans="1:28">
      <c r="N143" s="124"/>
      <c r="AA143" s="299"/>
      <c r="AB143" s="299"/>
    </row>
    <row r="144" spans="1:28">
      <c r="U144" s="62"/>
      <c r="AA144" s="299"/>
      <c r="AB144" s="299"/>
    </row>
    <row r="145" spans="14:18">
      <c r="N145" s="124"/>
    </row>
    <row r="147" spans="14:18">
      <c r="P147" s="133"/>
    </row>
    <row r="148" spans="14:18">
      <c r="P148" s="130"/>
      <c r="Q148" s="137"/>
    </row>
    <row r="149" spans="14:18">
      <c r="P149" s="130"/>
    </row>
    <row r="150" spans="14:18">
      <c r="P150" s="133"/>
      <c r="Q150" s="138"/>
      <c r="R150" s="139"/>
    </row>
    <row r="151" spans="14:18">
      <c r="P151" s="130"/>
    </row>
    <row r="152" spans="14:18">
      <c r="P152" s="130"/>
    </row>
    <row r="153" spans="14:18">
      <c r="P153" s="130"/>
    </row>
  </sheetData>
  <mergeCells count="11">
    <mergeCell ref="A136:A139"/>
    <mergeCell ref="A46:A55"/>
    <mergeCell ref="A56:A119"/>
    <mergeCell ref="A120:A123"/>
    <mergeCell ref="A124:A131"/>
    <mergeCell ref="A132:A135"/>
    <mergeCell ref="H2:J2"/>
    <mergeCell ref="A10:A17"/>
    <mergeCell ref="A18:A29"/>
    <mergeCell ref="A30:A37"/>
    <mergeCell ref="A38:A45"/>
  </mergeCells>
  <conditionalFormatting sqref="J4:J7 Y10:Y139">
    <cfRule type="cellIs" dxfId="5" priority="5" operator="equal">
      <formula>"Pass"</formula>
    </cfRule>
    <cfRule type="cellIs" dxfId="4" priority="6" operator="equal">
      <formula>"Fail"</formula>
    </cfRule>
  </conditionalFormatting>
  <pageMargins left="0.19685039370078741" right="0.19685039370078741" top="0.19685039370078741" bottom="0.19685039370078741" header="0.31496062992125984" footer="0.31496062992125984"/>
  <pageSetup paperSize="9" scale="47" fitToHeight="2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V151"/>
  <sheetViews>
    <sheetView topLeftCell="S1" zoomScaleNormal="100" workbookViewId="0">
      <selection activeCell="T4" sqref="T4"/>
    </sheetView>
  </sheetViews>
  <sheetFormatPr defaultRowHeight="15"/>
  <cols>
    <col min="1" max="1" width="4.7109375" bestFit="1" customWidth="1"/>
    <col min="2" max="2" width="10.7109375" bestFit="1" customWidth="1"/>
    <col min="3" max="3" width="16.28515625" bestFit="1" customWidth="1"/>
    <col min="4" max="4" width="13.7109375" style="58" bestFit="1" customWidth="1"/>
    <col min="5" max="5" width="15.28515625" bestFit="1" customWidth="1"/>
    <col min="6" max="6" width="13.7109375" style="58" bestFit="1" customWidth="1"/>
    <col min="7" max="7" width="13.7109375" bestFit="1" customWidth="1"/>
    <col min="8" max="8" width="13.7109375" style="58" bestFit="1" customWidth="1"/>
    <col min="9" max="9" width="15.28515625" style="58" bestFit="1" customWidth="1"/>
    <col min="10" max="12" width="13.7109375" bestFit="1" customWidth="1"/>
    <col min="13" max="13" width="15.140625" bestFit="1" customWidth="1"/>
    <col min="14" max="14" width="13.7109375" bestFit="1" customWidth="1"/>
    <col min="15" max="15" width="13.140625" bestFit="1" customWidth="1"/>
    <col min="16" max="16" width="13.7109375" bestFit="1" customWidth="1"/>
    <col min="17" max="17" width="13.140625" bestFit="1" customWidth="1"/>
    <col min="18" max="18" width="13.7109375" bestFit="1" customWidth="1"/>
    <col min="19" max="19" width="13.140625" bestFit="1" customWidth="1"/>
    <col min="20" max="20" width="18.5703125" bestFit="1" customWidth="1"/>
    <col min="21" max="21" width="16.28515625" bestFit="1" customWidth="1"/>
    <col min="22" max="22" width="13.140625" bestFit="1" customWidth="1"/>
    <col min="23" max="23" width="15.28515625" bestFit="1" customWidth="1"/>
    <col min="24" max="24" width="13.140625" bestFit="1" customWidth="1"/>
    <col min="25" max="25" width="13.7109375" bestFit="1" customWidth="1"/>
    <col min="26" max="26" width="13.140625" bestFit="1" customWidth="1"/>
    <col min="27" max="27" width="15.28515625" bestFit="1" customWidth="1"/>
    <col min="28" max="29" width="13.140625" bestFit="1" customWidth="1"/>
    <col min="30" max="30" width="14.28515625" bestFit="1" customWidth="1"/>
    <col min="31" max="37" width="13.28515625" bestFit="1" customWidth="1"/>
    <col min="38" max="48" width="13.140625" bestFit="1" customWidth="1"/>
    <col min="49" max="51" width="5.5703125" bestFit="1" customWidth="1"/>
  </cols>
  <sheetData>
    <row r="1" spans="1:48" s="58" customFormat="1" ht="15.75" thickBot="1">
      <c r="B1" s="227" t="s">
        <v>119</v>
      </c>
    </row>
    <row r="2" spans="1:48" ht="15.75" thickBot="1">
      <c r="C2" s="313" t="s">
        <v>325</v>
      </c>
      <c r="D2" s="314"/>
      <c r="E2" s="314"/>
      <c r="F2" s="314"/>
      <c r="G2" s="314"/>
      <c r="H2" s="314"/>
      <c r="I2" s="314"/>
      <c r="J2" s="316"/>
      <c r="L2" s="313" t="s">
        <v>326</v>
      </c>
      <c r="M2" s="314"/>
      <c r="N2" s="314"/>
      <c r="O2" s="314"/>
      <c r="P2" s="314"/>
      <c r="Q2" s="314"/>
      <c r="R2" s="314"/>
      <c r="S2" s="316"/>
      <c r="U2" s="313" t="s">
        <v>316</v>
      </c>
      <c r="V2" s="314"/>
      <c r="W2" s="314"/>
      <c r="X2" s="314"/>
      <c r="Y2" s="314"/>
      <c r="Z2" s="314"/>
      <c r="AA2" s="314"/>
      <c r="AB2" s="316"/>
    </row>
    <row r="3" spans="1:48" ht="15.75" thickBot="1">
      <c r="A3" s="58"/>
      <c r="B3" s="58">
        <v>1</v>
      </c>
      <c r="C3" s="313" t="s">
        <v>22</v>
      </c>
      <c r="D3" s="314"/>
      <c r="E3" s="314" t="s">
        <v>22</v>
      </c>
      <c r="F3" s="314"/>
      <c r="G3" s="314" t="s">
        <v>116</v>
      </c>
      <c r="H3" s="314"/>
      <c r="I3" s="314" t="s">
        <v>117</v>
      </c>
      <c r="J3" s="316"/>
      <c r="K3" s="178">
        <v>2</v>
      </c>
      <c r="L3" s="313" t="s">
        <v>22</v>
      </c>
      <c r="M3" s="314"/>
      <c r="N3" s="314" t="s">
        <v>22</v>
      </c>
      <c r="O3" s="314"/>
      <c r="P3" s="314" t="s">
        <v>116</v>
      </c>
      <c r="Q3" s="314"/>
      <c r="R3" s="314" t="s">
        <v>117</v>
      </c>
      <c r="S3" s="316"/>
      <c r="T3" s="178">
        <v>3</v>
      </c>
      <c r="U3" s="313" t="s">
        <v>22</v>
      </c>
      <c r="V3" s="314"/>
      <c r="W3" s="314" t="s">
        <v>22</v>
      </c>
      <c r="X3" s="314"/>
      <c r="Y3" s="314" t="s">
        <v>116</v>
      </c>
      <c r="Z3" s="314"/>
      <c r="AA3" s="314" t="s">
        <v>117</v>
      </c>
      <c r="AB3" s="316"/>
    </row>
    <row r="4" spans="1:48">
      <c r="B4" s="199"/>
      <c r="C4" s="188" t="s">
        <v>114</v>
      </c>
      <c r="D4" s="189" t="s">
        <v>115</v>
      </c>
      <c r="E4" s="190" t="s">
        <v>114</v>
      </c>
      <c r="F4" s="189" t="s">
        <v>115</v>
      </c>
      <c r="G4" s="190" t="s">
        <v>114</v>
      </c>
      <c r="H4" s="189" t="s">
        <v>115</v>
      </c>
      <c r="I4" s="190" t="s">
        <v>114</v>
      </c>
      <c r="J4" s="191" t="s">
        <v>115</v>
      </c>
      <c r="K4" s="199"/>
      <c r="L4" s="188" t="s">
        <v>114</v>
      </c>
      <c r="M4" s="189" t="s">
        <v>115</v>
      </c>
      <c r="N4" s="190" t="s">
        <v>114</v>
      </c>
      <c r="O4" s="189" t="s">
        <v>115</v>
      </c>
      <c r="P4" s="190" t="s">
        <v>114</v>
      </c>
      <c r="Q4" s="189" t="s">
        <v>115</v>
      </c>
      <c r="R4" s="190" t="s">
        <v>114</v>
      </c>
      <c r="S4" s="191" t="s">
        <v>115</v>
      </c>
      <c r="T4" s="199"/>
      <c r="U4" s="188" t="s">
        <v>114</v>
      </c>
      <c r="V4" s="189" t="s">
        <v>115</v>
      </c>
      <c r="W4" s="190" t="s">
        <v>114</v>
      </c>
      <c r="X4" s="189" t="s">
        <v>115</v>
      </c>
      <c r="Y4" s="190" t="s">
        <v>114</v>
      </c>
      <c r="Z4" s="189" t="s">
        <v>115</v>
      </c>
      <c r="AA4" s="190" t="s">
        <v>114</v>
      </c>
      <c r="AB4" s="191" t="s">
        <v>115</v>
      </c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</row>
    <row r="5" spans="1:48" ht="15.75" thickBot="1">
      <c r="A5" s="178"/>
      <c r="B5" s="178"/>
      <c r="C5" s="311" t="s">
        <v>25</v>
      </c>
      <c r="D5" s="315"/>
      <c r="E5" s="317" t="s">
        <v>22</v>
      </c>
      <c r="F5" s="315"/>
      <c r="G5" s="317" t="s">
        <v>23</v>
      </c>
      <c r="H5" s="315"/>
      <c r="I5" s="317" t="s">
        <v>24</v>
      </c>
      <c r="J5" s="312"/>
      <c r="K5" s="178"/>
      <c r="L5" s="311" t="s">
        <v>25</v>
      </c>
      <c r="M5" s="315"/>
      <c r="N5" s="317" t="s">
        <v>22</v>
      </c>
      <c r="O5" s="315"/>
      <c r="P5" s="317" t="s">
        <v>23</v>
      </c>
      <c r="Q5" s="315"/>
      <c r="R5" s="317" t="s">
        <v>24</v>
      </c>
      <c r="S5" s="312"/>
      <c r="T5" s="178"/>
      <c r="U5" s="311" t="s">
        <v>25</v>
      </c>
      <c r="V5" s="315"/>
      <c r="W5" s="317" t="s">
        <v>22</v>
      </c>
      <c r="X5" s="315"/>
      <c r="Y5" s="317" t="s">
        <v>23</v>
      </c>
      <c r="Z5" s="315"/>
      <c r="AA5" s="317" t="s">
        <v>24</v>
      </c>
      <c r="AB5" s="312"/>
      <c r="AC5" s="185"/>
      <c r="AD5" s="185"/>
      <c r="AE5" s="185"/>
      <c r="AF5" s="185"/>
      <c r="AG5" s="185"/>
      <c r="AH5" s="185"/>
      <c r="AI5" s="185"/>
      <c r="AJ5" s="185"/>
      <c r="AK5" s="185"/>
      <c r="AL5" s="185"/>
      <c r="AM5" s="185"/>
      <c r="AN5" s="185"/>
      <c r="AO5" s="185"/>
      <c r="AP5" s="185"/>
      <c r="AQ5" s="185"/>
      <c r="AR5" s="185"/>
      <c r="AS5" s="185"/>
      <c r="AT5" s="185"/>
      <c r="AU5" s="185"/>
      <c r="AV5" s="185"/>
    </row>
    <row r="6" spans="1:48">
      <c r="A6" s="178" t="s">
        <v>91</v>
      </c>
      <c r="B6" s="266" t="s">
        <v>91</v>
      </c>
      <c r="C6" s="192">
        <f t="array" aca="1" ref="C6:C20" ca="1">CalculateI01(C5,Pricing!$B$2,Pricing!$B$10:$Y$139,INDIRECT(C5&amp;"_LastDate"),INDIRECT(C5&amp;"_LastCPI"),INDIRECT(C5&amp;"_RefDate"),INDIRECT(C5&amp;"_RefCPI"),Curves!$L$25:$L$41,INDIRECT(C5&amp;"_INFDates"),INDIRECT(C5&amp;"_Quotes"),INDIRECT(C5&amp;"_CPIs"),INDIRECT(C5&amp;"_Seaso"),INDIRECT(C3&amp;"Hols"),B3)</f>
        <v>-31220.145588554326</v>
      </c>
      <c r="D6" s="193">
        <f t="array" aca="1" ref="D6:D20" ca="1">CalculateI02FromIO1(C5,Pricing!$B$2,Pricing!$B$10:$Y$139,INDIRECT(C5&amp;"_LastDate"),INDIRECT(C5&amp;"_LastCPI"),INDIRECT(C5&amp;"_RefDate"),INDIRECT(C5&amp;"_RefCPI"),Curves!$L$25:$L$41,INDIRECT(C5&amp;"_INFDates"),INDIRECT(C5&amp;"_Quotes"),INDIRECT(C5&amp;"_CPIs"),INDIRECT(C5&amp;"_Seaso"),INDIRECT(C3&amp;"Hols"),B3)</f>
        <v>0.74733581455075182</v>
      </c>
      <c r="E6" s="194">
        <f t="array" aca="1" ref="E6:E20" ca="1">CalculateI01(E5,Pricing!$B$2,Pricing!$B$10:$Y$139,INDIRECT(E5&amp;"_LastDate"),INDIRECT(E5&amp;"_LastCPI"),INDIRECT(E5&amp;"_RefDate"),INDIRECT(E5&amp;"_RefCPI"),Curves!$L$25:$L$41,INDIRECT(E5&amp;"_INFDates"),INDIRECT(E5&amp;"_Quotes"),INDIRECT(E5&amp;"_CPIs"),INDIRECT(E5&amp;"_Seaso"),INDIRECT(E3&amp;"Hols"),B3)</f>
        <v>11991.400071586093</v>
      </c>
      <c r="F6" s="193">
        <f t="array" aca="1" ref="F6:F20" ca="1">CalculateI02FromIO1(E5,Pricing!$B$2,Pricing!$B$10:$Y$139,INDIRECT(E5&amp;"_LastDate"),INDIRECT(E5&amp;"_LastCPI"),INDIRECT(E5&amp;"_RefDate"),INDIRECT(E5&amp;"_RefCPI"),Curves!$L$25:$L$41,INDIRECT(E5&amp;"_INFDates"),INDIRECT(E5&amp;"_Quotes"),INDIRECT(E5&amp;"_CPIs"),INDIRECT(E5&amp;"_Seaso"),INDIRECT(E3&amp;"Hols"),B3)</f>
        <v>-0.57274398450499575</v>
      </c>
      <c r="G6" s="194">
        <f t="array" aca="1" ref="G6:G22" ca="1">CalculateI01(G5,Pricing!$B$2,Pricing!$B$10:$Y$139,INDIRECT(G5&amp;"_LastDate"),INDIRECT(G5&amp;"_LastCPI"),INDIRECT(G5&amp;"_RefDate"),INDIRECT(G5&amp;"_RefCPI"),Curves!$L$25:$L$41,INDIRECT(G5&amp;"_INFDates"),INDIRECT(G5&amp;"_Quotes"),INDIRECT(G5&amp;"_CPIs"),INDIRECT(G5&amp;"_Seaso"),INDIRECT(G3&amp;"Hols"),B3)</f>
        <v>8058.0963797106124</v>
      </c>
      <c r="H6" s="193">
        <f t="array" aca="1" ref="H6:H22" ca="1">CalculateI02FromIO1(G5,Pricing!$B$2,Pricing!$B$10:$Y$139,INDIRECT(G5&amp;"_LastDate"),INDIRECT(G5&amp;"_LastCPI"),INDIRECT(G5&amp;"_RefDate"),INDIRECT(G5&amp;"_RefCPI"),Curves!$L$25:$L$41,INDIRECT(G5&amp;"_INFDates"),INDIRECT(G5&amp;"_Quotes"),INDIRECT(G5&amp;"_CPIs"),INDIRECT(G5&amp;"_Seaso"),INDIRECT(G3&amp;"Hols"),B3)</f>
        <v>-0.50647992871199676</v>
      </c>
      <c r="I6" s="194">
        <f t="array" aca="1" ref="I6:I20" ca="1">CalculateI01(I5,Pricing!$B$2,Pricing!$B$10:$Y$139,INDIRECT(I5&amp;"_LastDate"),INDIRECT(I5&amp;"_LastCPI"),INDIRECT(I5&amp;"_RefDate"),INDIRECT(I5&amp;"_RefCPI"),Curves!$L$25:$L$41,INDIRECT(I5&amp;"_INFDates"),INDIRECT(I5&amp;"_Quotes"),INDIRECT(I5&amp;"_CPIs"),INDIRECT(I5&amp;"_Seaso"),INDIRECT(I3&amp;"Hols"),B3)</f>
        <v>82820.330956115213</v>
      </c>
      <c r="J6" s="177">
        <f t="array" aca="1" ref="J6:J20" ca="1">CalculateI02FromIO1(I5,Pricing!$B$2,Pricing!$B$10:$Y$139,INDIRECT(I5&amp;"_LastDate"),INDIRECT(I5&amp;"_LastCPI"),INDIRECT(I5&amp;"_RefDate"),INDIRECT(I5&amp;"_RefCPI"),Curves!$L$25:$L$41,INDIRECT(I5&amp;"_INFDates"),INDIRECT(I5&amp;"_Quotes"),INDIRECT(I5&amp;"_CPIs"),INDIRECT(I5&amp;"_Seaso"),INDIRECT(I3&amp;"Hols"),B3)</f>
        <v>-5.0224727742897812</v>
      </c>
      <c r="K6" s="266" t="s">
        <v>91</v>
      </c>
      <c r="L6" s="192">
        <f t="array" aca="1" ref="L6:L20" ca="1">CalculateI01(L5,Pricing!$B$2,Pricing!$B$10:$Y$139,INDIRECT(L5&amp;"_LastDate"),INDIRECT(L5&amp;"_LastCPI"),INDIRECT(L5&amp;"_RefDate"),INDIRECT(L5&amp;"_RefCPI"),Curves!$L$25:$L$41,INDIRECT(L5&amp;"_INFDates"),INDIRECT(L5&amp;"_Quotes"),INDIRECT(L5&amp;"_CPIs"),INDIRECT(L5&amp;"_Seaso"),INDIRECT(L3&amp;"Hols"),K3)</f>
        <v>-28047.307590703862</v>
      </c>
      <c r="M6" s="193">
        <f t="array" aca="1" ref="M6:M20" ca="1">CalculateI02FromIO1(L5,Pricing!$B$2,Pricing!$B$10:$Y$139,INDIRECT(L5&amp;"_LastDate"),INDIRECT(L5&amp;"_LastCPI"),INDIRECT(L5&amp;"_RefDate"),INDIRECT(L5&amp;"_RefCPI"),Curves!$L$25:$L$41,INDIRECT(L5&amp;"_INFDates"),INDIRECT(L5&amp;"_Quotes"),INDIRECT(L5&amp;"_CPIs"),INDIRECT(L5&amp;"_Seaso"),INDIRECT(L3&amp;"Hols"),K3)</f>
        <v>1.0700647634548659</v>
      </c>
      <c r="N6" s="194">
        <f t="array" aca="1" ref="N6:N20" ca="1">CalculateI01(N5,Pricing!$B$2,Pricing!$B$10:$Y$139,INDIRECT(N5&amp;"_LastDate"),INDIRECT(N5&amp;"_LastCPI"),INDIRECT(N5&amp;"_RefDate"),INDIRECT(N5&amp;"_RefCPI"),Curves!$L$25:$L$41,INDIRECT(N5&amp;"_INFDates"),INDIRECT(N5&amp;"_Quotes"),INDIRECT(N5&amp;"_CPIs"),INDIRECT(N5&amp;"_Seaso"),INDIRECT(N3&amp;"Hols"),K3)</f>
        <v>10091.300658680142</v>
      </c>
      <c r="O6" s="193">
        <f t="array" aca="1" ref="O6:O20" ca="1">CalculateI02FromIO1(N5,Pricing!$B$2,Pricing!$B$10:$Y$139,INDIRECT(N5&amp;"_LastDate"),INDIRECT(N5&amp;"_LastCPI"),INDIRECT(N5&amp;"_RefDate"),INDIRECT(N5&amp;"_RefCPI"),Curves!$L$25:$L$41,INDIRECT(N5&amp;"_INFDates"),INDIRECT(N5&amp;"_Quotes"),INDIRECT(N5&amp;"_CPIs"),INDIRECT(N5&amp;"_Seaso"),INDIRECT(N3&amp;"Hols"),K3)</f>
        <v>-0.68140120663701964</v>
      </c>
      <c r="P6" s="194">
        <f t="array" aca="1" ref="P6:P22" ca="1">CalculateI01(P5,Pricing!$B$2,Pricing!$B$10:$Y$139,INDIRECT(P5&amp;"_LastDate"),INDIRECT(P5&amp;"_LastCPI"),INDIRECT(P5&amp;"_RefDate"),INDIRECT(P5&amp;"_RefCPI"),Curves!$L$25:$L$41,INDIRECT(P5&amp;"_INFDates"),INDIRECT(P5&amp;"_Quotes"),INDIRECT(P5&amp;"_CPIs"),INDIRECT(P5&amp;"_Seaso"),INDIRECT(P3&amp;"Hols"),K3)</f>
        <v>7376.1330125908598</v>
      </c>
      <c r="Q6" s="193">
        <f t="array" aca="1" ref="Q6:Q22" ca="1">CalculateI02FromIO1(P5,Pricing!$B$2,Pricing!$B$10:$Y$139,INDIRECT(P5&amp;"_LastDate"),INDIRECT(P5&amp;"_LastCPI"),INDIRECT(P5&amp;"_RefDate"),INDIRECT(P5&amp;"_RefCPI"),Curves!$L$25:$L$41,INDIRECT(P5&amp;"_INFDates"),INDIRECT(P5&amp;"_Quotes"),INDIRECT(P5&amp;"_CPIs"),INDIRECT(P5&amp;"_Seaso"),INDIRECT(P3&amp;"Hols"),K3)</f>
        <v>-0.52878083810719545</v>
      </c>
      <c r="R6" s="194">
        <f t="array" aca="1" ref="R6:R20" ca="1">CalculateI01(R5,Pricing!$B$2,Pricing!$B$10:$Y$139,INDIRECT(R5&amp;"_LastDate"),INDIRECT(R5&amp;"_LastCPI"),INDIRECT(R5&amp;"_RefDate"),INDIRECT(R5&amp;"_RefCPI"),Curves!$L$25:$L$41,INDIRECT(R5&amp;"_INFDates"),INDIRECT(R5&amp;"_Quotes"),INDIRECT(R5&amp;"_CPIs"),INDIRECT(R5&amp;"_Seaso"),INDIRECT(R3&amp;"Hols"),K3)</f>
        <v>75378.356010855146</v>
      </c>
      <c r="S6" s="177">
        <f t="array" aca="1" ref="S6:S20" ca="1">CalculateI02FromIO1(R5,Pricing!$B$2,Pricing!$B$10:$Y$139,INDIRECT(R5&amp;"_LastDate"),INDIRECT(R5&amp;"_LastCPI"),INDIRECT(R5&amp;"_RefDate"),INDIRECT(R5&amp;"_RefCPI"),Curves!$L$25:$L$41,INDIRECT(R5&amp;"_INFDates"),INDIRECT(R5&amp;"_Quotes"),INDIRECT(R5&amp;"_CPIs"),INDIRECT(R5&amp;"_Seaso"),INDIRECT(R3&amp;"Hols"),K3)</f>
        <v>-5.4250787557830336</v>
      </c>
      <c r="T6" s="266" t="s">
        <v>91</v>
      </c>
      <c r="U6" s="192">
        <f t="array" aca="1" ref="U6:U20" ca="1">CalculateI01(U5,Pricing!$B$2,Pricing!$B$10:$Y$139,INDIRECT(U5&amp;"_LastDate"),INDIRECT(U5&amp;"_LastCPI"),INDIRECT(U5&amp;"_RefDate"),INDIRECT(U5&amp;"_RefCPI"),Curves!$L$25:$L$41,INDIRECT(U5&amp;"_INFDates"),INDIRECT(U5&amp;"_Quotes"),INDIRECT(U5&amp;"_CPIs"),INDIRECT(U5&amp;"_Seaso"),INDIRECT(U3&amp;"Hols"),T3)</f>
        <v>-2454069.7111544833</v>
      </c>
      <c r="V6" s="193">
        <f t="array" aca="1" ref="V6:V20" ca="1">CalculateI02FromIO1(U5,Pricing!$B$2,Pricing!$B$10:$Y$139,INDIRECT(U5&amp;"_LastDate"),INDIRECT(U5&amp;"_LastCPI"),INDIRECT(U5&amp;"_RefDate"),INDIRECT(U5&amp;"_RefCPI"),Curves!$L$25:$L$41,INDIRECT(U5&amp;"_INFDates"),INDIRECT(U5&amp;"_Quotes"),INDIRECT(U5&amp;"_CPIs"),INDIRECT(U5&amp;"_Seaso"),INDIRECT(U3&amp;"Hols"),T3)</f>
        <v>64.845242417883128</v>
      </c>
      <c r="W6" s="194">
        <f t="array" aca="1" ref="W6:W20" ca="1">CalculateI01(W5,Pricing!$B$2,Pricing!$B$10:$Y$139,INDIRECT(W5&amp;"_LastDate"),INDIRECT(W5&amp;"_LastCPI"),INDIRECT(W5&amp;"_RefDate"),INDIRECT(W5&amp;"_RefCPI"),Curves!$L$25:$L$41,INDIRECT(W5&amp;"_INFDates"),INDIRECT(W5&amp;"_Quotes"),INDIRECT(W5&amp;"_CPIs"),INDIRECT(W5&amp;"_Seaso"),INDIRECT(W3&amp;"Hols"),T3)</f>
        <v>1037767.2065414188</v>
      </c>
      <c r="X6" s="193">
        <f t="array" aca="1" ref="X6:X20" ca="1">CalculateI02FromIO1(W5,Pricing!$B$2,Pricing!$B$10:$Y$139,INDIRECT(W5&amp;"_LastDate"),INDIRECT(W5&amp;"_LastCPI"),INDIRECT(W5&amp;"_RefDate"),INDIRECT(W5&amp;"_RefCPI"),Curves!$L$25:$L$41,INDIRECT(W5&amp;"_INFDates"),INDIRECT(W5&amp;"_Quotes"),INDIRECT(W5&amp;"_CPIs"),INDIRECT(W5&amp;"_Seaso"),INDIRECT(W3&amp;"Hols"),T3)</f>
        <v>-49.566766292089596</v>
      </c>
      <c r="Y6" s="194">
        <f t="array" aca="1" ref="Y6:Y22" ca="1">CalculateI01(Y5,Pricing!$B$2,Pricing!$B$10:$Y$139,INDIRECT(Y5&amp;"_LastDate"),INDIRECT(Y5&amp;"_LastCPI"),INDIRECT(Y5&amp;"_RefDate"),INDIRECT(Y5&amp;"_RefCPI"),Curves!$L$25:$L$41,INDIRECT(Y5&amp;"_INFDates"),INDIRECT(Y5&amp;"_Quotes"),INDIRECT(Y5&amp;"_CPIs"),INDIRECT(Y5&amp;"_Seaso"),INDIRECT(Y3&amp;"Hols"),T3)</f>
        <v>324008.700430664</v>
      </c>
      <c r="Z6" s="193">
        <f t="array" aca="1" ref="Z6:Z22" ca="1">CalculateI02FromIO1(Y5,Pricing!$B$2,Pricing!$B$10:$Y$139,INDIRECT(Y5&amp;"_LastDate"),INDIRECT(Y5&amp;"_LastCPI"),INDIRECT(Y5&amp;"_RefDate"),INDIRECT(Y5&amp;"_RefCPI"),Curves!$L$25:$L$41,INDIRECT(Y5&amp;"_INFDates"),INDIRECT(Y5&amp;"_Quotes"),INDIRECT(Y5&amp;"_CPIs"),INDIRECT(Y5&amp;"_Seaso"),INDIRECT(Y3&amp;"Hols"),T3)</f>
        <v>-20.365095645771362</v>
      </c>
      <c r="AA6" s="194">
        <f t="array" aca="1" ref="AA6:AA20" ca="1">CalculateI01(AA5,Pricing!$B$2,Pricing!$B$10:$Y$139,INDIRECT(AA5&amp;"_LastDate"),INDIRECT(AA5&amp;"_LastCPI"),INDIRECT(AA5&amp;"_RefDate"),INDIRECT(AA5&amp;"_RefCPI"),Curves!$L$25:$L$41,INDIRECT(AA5&amp;"_INFDates"),INDIRECT(AA5&amp;"_Quotes"),INDIRECT(AA5&amp;"_CPIs"),INDIRECT(AA5&amp;"_Seaso"),INDIRECT(AA3&amp;"Hols"),T3)</f>
        <v>3555992.8776755505</v>
      </c>
      <c r="AB6" s="177">
        <f t="array" aca="1" ref="AB6:AB20" ca="1">CalculateI02FromIO1(AA5,Pricing!$B$2,Pricing!$B$10:$Y$139,INDIRECT(AA5&amp;"_LastDate"),INDIRECT(AA5&amp;"_LastCPI"),INDIRECT(AA5&amp;"_RefDate"),INDIRECT(AA5&amp;"_RefCPI"),Curves!$L$25:$L$41,INDIRECT(AA5&amp;"_INFDates"),INDIRECT(AA5&amp;"_Quotes"),INDIRECT(AA5&amp;"_CPIs"),INDIRECT(AA5&amp;"_Seaso"),INDIRECT(AA3&amp;"Hols"),T3)</f>
        <v>-216.34344404749572</v>
      </c>
      <c r="AC6" s="185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5"/>
      <c r="AU6" s="185"/>
      <c r="AV6" s="185"/>
    </row>
    <row r="7" spans="1:48">
      <c r="A7" s="178" t="s">
        <v>35</v>
      </c>
      <c r="B7" s="263" t="s">
        <v>35</v>
      </c>
      <c r="C7" s="195">
        <f ca="1"/>
        <v>102871.99998006952</v>
      </c>
      <c r="D7" s="261">
        <f ca="1"/>
        <v>17.889068535805563</v>
      </c>
      <c r="E7" s="260">
        <f ca="1"/>
        <v>0</v>
      </c>
      <c r="F7" s="261">
        <f ca="1"/>
        <v>0</v>
      </c>
      <c r="G7" s="260">
        <f ca="1"/>
        <v>0</v>
      </c>
      <c r="H7" s="261">
        <f ca="1"/>
        <v>0</v>
      </c>
      <c r="I7" s="260">
        <f ca="1"/>
        <v>46254.328477559073</v>
      </c>
      <c r="J7" s="175">
        <f ca="1"/>
        <v>5.5903267370886169</v>
      </c>
      <c r="K7" s="263" t="s">
        <v>35</v>
      </c>
      <c r="L7" s="195">
        <f ca="1"/>
        <v>100733.91669660766</v>
      </c>
      <c r="M7" s="261">
        <f ca="1"/>
        <v>17.049185340132681</v>
      </c>
      <c r="N7" s="260">
        <f ca="1"/>
        <v>0</v>
      </c>
      <c r="O7" s="261">
        <f ca="1"/>
        <v>0</v>
      </c>
      <c r="P7" s="260">
        <f ca="1"/>
        <v>0</v>
      </c>
      <c r="Q7" s="261">
        <f ca="1"/>
        <v>0</v>
      </c>
      <c r="R7" s="260">
        <f ca="1"/>
        <v>44399.516342116134</v>
      </c>
      <c r="S7" s="175">
        <f ca="1"/>
        <v>5.185754421618185</v>
      </c>
      <c r="T7" s="263" t="s">
        <v>35</v>
      </c>
      <c r="U7" s="195">
        <f ca="1"/>
        <v>4130710.3890430122</v>
      </c>
      <c r="V7" s="261">
        <f ca="1"/>
        <v>308.55759613448754</v>
      </c>
      <c r="W7" s="260">
        <f ca="1"/>
        <v>0</v>
      </c>
      <c r="X7" s="261">
        <f ca="1"/>
        <v>0</v>
      </c>
      <c r="Y7" s="260">
        <f ca="1"/>
        <v>0</v>
      </c>
      <c r="Z7" s="261">
        <f ca="1"/>
        <v>0</v>
      </c>
      <c r="AA7" s="260">
        <f ca="1"/>
        <v>976137.26009801647</v>
      </c>
      <c r="AB7" s="175">
        <f ca="1"/>
        <v>22.175552348373458</v>
      </c>
      <c r="AC7" s="185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5"/>
      <c r="AU7" s="185"/>
      <c r="AV7" s="185"/>
    </row>
    <row r="8" spans="1:48">
      <c r="A8" s="178" t="s">
        <v>36</v>
      </c>
      <c r="B8" s="263" t="s">
        <v>36</v>
      </c>
      <c r="C8" s="195">
        <f ca="1"/>
        <v>578370.17525100685</v>
      </c>
      <c r="D8" s="261">
        <f ca="1"/>
        <v>102.49631089274772</v>
      </c>
      <c r="E8" s="260">
        <f ca="1"/>
        <v>0</v>
      </c>
      <c r="F8" s="261">
        <f ca="1"/>
        <v>0</v>
      </c>
      <c r="G8" s="260">
        <f ca="1"/>
        <v>0</v>
      </c>
      <c r="H8" s="261">
        <f ca="1"/>
        <v>0</v>
      </c>
      <c r="I8" s="260">
        <f ca="1"/>
        <v>85006.827516858524</v>
      </c>
      <c r="J8" s="175">
        <f ca="1"/>
        <v>15.107844855985604</v>
      </c>
      <c r="K8" s="263" t="s">
        <v>36</v>
      </c>
      <c r="L8" s="195">
        <f ca="1"/>
        <v>558160.99150714232</v>
      </c>
      <c r="M8" s="261">
        <f ca="1"/>
        <v>97.22975033451803</v>
      </c>
      <c r="N8" s="260">
        <f ca="1"/>
        <v>0</v>
      </c>
      <c r="O8" s="261">
        <f ca="1"/>
        <v>0</v>
      </c>
      <c r="P8" s="260">
        <f ca="1"/>
        <v>0</v>
      </c>
      <c r="Q8" s="261">
        <f ca="1"/>
        <v>0</v>
      </c>
      <c r="R8" s="260">
        <f ca="1"/>
        <v>81989.496977750212</v>
      </c>
      <c r="S8" s="175">
        <f ca="1"/>
        <v>14.325777405203553</v>
      </c>
      <c r="T8" s="263" t="s">
        <v>36</v>
      </c>
      <c r="U8" s="195">
        <f ca="1"/>
        <v>14809456.164460311</v>
      </c>
      <c r="V8" s="261">
        <f ca="1"/>
        <v>-303.56318837031722</v>
      </c>
      <c r="W8" s="260">
        <f ca="1"/>
        <v>0</v>
      </c>
      <c r="X8" s="261">
        <f ca="1"/>
        <v>0</v>
      </c>
      <c r="Y8" s="260">
        <f ca="1"/>
        <v>0</v>
      </c>
      <c r="Z8" s="261">
        <f ca="1"/>
        <v>0</v>
      </c>
      <c r="AA8" s="260">
        <f ca="1"/>
        <v>1156570.541027158</v>
      </c>
      <c r="AB8" s="175">
        <f ca="1"/>
        <v>-21.605887375771999</v>
      </c>
      <c r="AC8" s="185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5"/>
      <c r="AU8" s="185"/>
      <c r="AV8" s="185"/>
    </row>
    <row r="9" spans="1:48">
      <c r="A9" s="178" t="s">
        <v>65</v>
      </c>
      <c r="B9" s="263" t="s">
        <v>65</v>
      </c>
      <c r="C9" s="195">
        <f ca="1"/>
        <v>3.5494319234495624E-17</v>
      </c>
      <c r="D9" s="261">
        <f ca="1"/>
        <v>7.5057708586929385E-20</v>
      </c>
      <c r="E9" s="260">
        <f ca="1"/>
        <v>0</v>
      </c>
      <c r="F9" s="261">
        <f ca="1"/>
        <v>0</v>
      </c>
      <c r="G9" s="260">
        <f ca="1"/>
        <v>0</v>
      </c>
      <c r="H9" s="261">
        <f ca="1"/>
        <v>0</v>
      </c>
      <c r="I9" s="260">
        <f ca="1"/>
        <v>3.7318598959732814E-9</v>
      </c>
      <c r="J9" s="175">
        <f ca="1"/>
        <v>3.4787999051642623E-12</v>
      </c>
      <c r="K9" s="263" t="s">
        <v>65</v>
      </c>
      <c r="L9" s="195">
        <f ca="1"/>
        <v>0</v>
      </c>
      <c r="M9" s="261">
        <f ca="1"/>
        <v>0</v>
      </c>
      <c r="N9" s="260">
        <f ca="1"/>
        <v>0</v>
      </c>
      <c r="O9" s="261">
        <f ca="1"/>
        <v>0</v>
      </c>
      <c r="P9" s="260">
        <f ca="1"/>
        <v>0</v>
      </c>
      <c r="Q9" s="261">
        <f ca="1"/>
        <v>0</v>
      </c>
      <c r="R9" s="260">
        <f ca="1"/>
        <v>0</v>
      </c>
      <c r="S9" s="175">
        <f ca="1"/>
        <v>0</v>
      </c>
      <c r="T9" s="263" t="s">
        <v>65</v>
      </c>
      <c r="U9" s="195">
        <f ca="1"/>
        <v>0</v>
      </c>
      <c r="V9" s="261">
        <f ca="1"/>
        <v>0</v>
      </c>
      <c r="W9" s="260">
        <f ca="1"/>
        <v>0</v>
      </c>
      <c r="X9" s="261">
        <f ca="1"/>
        <v>0</v>
      </c>
      <c r="Y9" s="260">
        <f ca="1"/>
        <v>0</v>
      </c>
      <c r="Z9" s="261">
        <f ca="1"/>
        <v>0</v>
      </c>
      <c r="AA9" s="260">
        <f ca="1"/>
        <v>0</v>
      </c>
      <c r="AB9" s="175">
        <f ca="1"/>
        <v>0</v>
      </c>
      <c r="AC9" s="185"/>
      <c r="AD9" s="183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5"/>
      <c r="AU9" s="185"/>
      <c r="AV9" s="185"/>
    </row>
    <row r="10" spans="1:48">
      <c r="A10" s="178" t="s">
        <v>66</v>
      </c>
      <c r="B10" s="263" t="s">
        <v>66</v>
      </c>
      <c r="C10" s="195">
        <f ca="1"/>
        <v>-5.934826499659889E-15</v>
      </c>
      <c r="D10" s="261">
        <f ca="1"/>
        <v>-1.2591349965311643E-17</v>
      </c>
      <c r="E10" s="260">
        <f ca="1"/>
        <v>51532.33996060073</v>
      </c>
      <c r="F10" s="261">
        <f ca="1"/>
        <v>20.303310252951633</v>
      </c>
      <c r="G10" s="260">
        <f ca="1"/>
        <v>0</v>
      </c>
      <c r="H10" s="261">
        <f ca="1"/>
        <v>0</v>
      </c>
      <c r="I10" s="260">
        <f ca="1"/>
        <v>-6.2532293104578058E-7</v>
      </c>
      <c r="J10" s="175">
        <f ca="1"/>
        <v>-5.8723271242871656E-10</v>
      </c>
      <c r="K10" s="263" t="s">
        <v>66</v>
      </c>
      <c r="L10" s="195">
        <f ca="1"/>
        <v>0</v>
      </c>
      <c r="M10" s="261">
        <f ca="1"/>
        <v>0</v>
      </c>
      <c r="N10" s="260">
        <f ca="1"/>
        <v>49893.112914881167</v>
      </c>
      <c r="O10" s="261">
        <f ca="1"/>
        <v>19.487974502371799</v>
      </c>
      <c r="P10" s="260">
        <f ca="1"/>
        <v>0</v>
      </c>
      <c r="Q10" s="261">
        <f ca="1"/>
        <v>0</v>
      </c>
      <c r="R10" s="260">
        <f ca="1"/>
        <v>0</v>
      </c>
      <c r="S10" s="175">
        <f ca="1"/>
        <v>0</v>
      </c>
      <c r="T10" s="263" t="s">
        <v>66</v>
      </c>
      <c r="U10" s="195">
        <f ca="1"/>
        <v>0</v>
      </c>
      <c r="V10" s="261">
        <f ca="1"/>
        <v>0</v>
      </c>
      <c r="W10" s="260">
        <f ca="1"/>
        <v>839056.62871833553</v>
      </c>
      <c r="X10" s="261">
        <f ca="1"/>
        <v>0</v>
      </c>
      <c r="Y10" s="260">
        <f ca="1"/>
        <v>0</v>
      </c>
      <c r="Z10" s="261">
        <f ca="1"/>
        <v>0</v>
      </c>
      <c r="AA10" s="260">
        <f ca="1"/>
        <v>0</v>
      </c>
      <c r="AB10" s="175">
        <f ca="1"/>
        <v>0</v>
      </c>
      <c r="AC10" s="185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5"/>
      <c r="AU10" s="185"/>
      <c r="AV10" s="185"/>
    </row>
    <row r="11" spans="1:48">
      <c r="A11" s="178" t="s">
        <v>67</v>
      </c>
      <c r="B11" s="263" t="s">
        <v>67</v>
      </c>
      <c r="C11" s="195">
        <f ca="1"/>
        <v>9.5302646179211697E-13</v>
      </c>
      <c r="D11" s="261">
        <f ca="1"/>
        <v>2.0285428830281932E-15</v>
      </c>
      <c r="E11" s="260">
        <f ca="1"/>
        <v>0</v>
      </c>
      <c r="F11" s="261">
        <f ca="1"/>
        <v>0</v>
      </c>
      <c r="G11" s="260">
        <f ca="1"/>
        <v>0</v>
      </c>
      <c r="H11" s="261">
        <f ca="1"/>
        <v>0</v>
      </c>
      <c r="I11" s="260">
        <f ca="1"/>
        <v>1.0062292197763341E-4</v>
      </c>
      <c r="J11" s="175">
        <f ca="1"/>
        <v>9.518454809187408E-8</v>
      </c>
      <c r="K11" s="263" t="s">
        <v>67</v>
      </c>
      <c r="L11" s="195">
        <f ca="1"/>
        <v>0</v>
      </c>
      <c r="M11" s="261">
        <f ca="1"/>
        <v>0</v>
      </c>
      <c r="N11" s="260">
        <f ca="1"/>
        <v>0</v>
      </c>
      <c r="O11" s="261">
        <f ca="1"/>
        <v>0</v>
      </c>
      <c r="P11" s="260">
        <f ca="1"/>
        <v>0</v>
      </c>
      <c r="Q11" s="261">
        <f ca="1"/>
        <v>0</v>
      </c>
      <c r="R11" s="260">
        <f ca="1"/>
        <v>0</v>
      </c>
      <c r="S11" s="175">
        <f ca="1"/>
        <v>0</v>
      </c>
      <c r="T11" s="263" t="s">
        <v>67</v>
      </c>
      <c r="U11" s="195">
        <f ca="1"/>
        <v>0</v>
      </c>
      <c r="V11" s="261">
        <f ca="1"/>
        <v>0</v>
      </c>
      <c r="W11" s="260">
        <f ca="1"/>
        <v>0</v>
      </c>
      <c r="X11" s="261">
        <f ca="1"/>
        <v>0</v>
      </c>
      <c r="Y11" s="260">
        <f ca="1"/>
        <v>0</v>
      </c>
      <c r="Z11" s="261">
        <f ca="1"/>
        <v>0</v>
      </c>
      <c r="AA11" s="260">
        <f ca="1"/>
        <v>0</v>
      </c>
      <c r="AB11" s="175">
        <f ca="1"/>
        <v>0</v>
      </c>
      <c r="AC11" s="185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5"/>
      <c r="AU11" s="185"/>
      <c r="AV11" s="185"/>
    </row>
    <row r="12" spans="1:48">
      <c r="A12" s="178" t="s">
        <v>68</v>
      </c>
      <c r="B12" s="263" t="s">
        <v>68</v>
      </c>
      <c r="C12" s="195">
        <f ca="1"/>
        <v>-1.4408516308208573E-10</v>
      </c>
      <c r="D12" s="261">
        <f ca="1"/>
        <v>-3.0771658484944096E-13</v>
      </c>
      <c r="E12" s="260">
        <f ca="1"/>
        <v>0</v>
      </c>
      <c r="F12" s="261">
        <f ca="1"/>
        <v>0</v>
      </c>
      <c r="G12" s="260">
        <f ca="1"/>
        <v>0</v>
      </c>
      <c r="H12" s="261">
        <f ca="1"/>
        <v>0</v>
      </c>
      <c r="I12" s="260">
        <f ca="1"/>
        <v>-1.5244188462431607E-2</v>
      </c>
      <c r="J12" s="175">
        <f ca="1"/>
        <v>-1.4528107553495387E-5</v>
      </c>
      <c r="K12" s="263" t="s">
        <v>68</v>
      </c>
      <c r="L12" s="195">
        <f ca="1"/>
        <v>0</v>
      </c>
      <c r="M12" s="261">
        <f ca="1"/>
        <v>0</v>
      </c>
      <c r="N12" s="260">
        <f ca="1"/>
        <v>0</v>
      </c>
      <c r="O12" s="261">
        <f ca="1"/>
        <v>0</v>
      </c>
      <c r="P12" s="260">
        <f ca="1"/>
        <v>0</v>
      </c>
      <c r="Q12" s="261">
        <f ca="1"/>
        <v>0</v>
      </c>
      <c r="R12" s="260">
        <f ca="1"/>
        <v>0</v>
      </c>
      <c r="S12" s="175">
        <f ca="1"/>
        <v>0</v>
      </c>
      <c r="T12" s="263" t="s">
        <v>68</v>
      </c>
      <c r="U12" s="195">
        <f ca="1"/>
        <v>0</v>
      </c>
      <c r="V12" s="261">
        <f ca="1"/>
        <v>0</v>
      </c>
      <c r="W12" s="260">
        <f ca="1"/>
        <v>0</v>
      </c>
      <c r="X12" s="261">
        <f ca="1"/>
        <v>0</v>
      </c>
      <c r="Y12" s="260">
        <f ca="1"/>
        <v>0</v>
      </c>
      <c r="Z12" s="261">
        <f ca="1"/>
        <v>0</v>
      </c>
      <c r="AA12" s="260">
        <f ca="1"/>
        <v>0</v>
      </c>
      <c r="AB12" s="175">
        <f ca="1"/>
        <v>0</v>
      </c>
      <c r="AC12" s="185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5"/>
      <c r="AU12" s="185"/>
      <c r="AV12" s="185"/>
    </row>
    <row r="13" spans="1:48">
      <c r="A13" s="178" t="s">
        <v>69</v>
      </c>
      <c r="B13" s="263" t="s">
        <v>69</v>
      </c>
      <c r="C13" s="195">
        <f ca="1"/>
        <v>2.2035646915615801E-8</v>
      </c>
      <c r="D13" s="261">
        <f ca="1"/>
        <v>4.72126800997454E-11</v>
      </c>
      <c r="E13" s="260">
        <f ca="1"/>
        <v>0</v>
      </c>
      <c r="F13" s="261">
        <f ca="1"/>
        <v>0</v>
      </c>
      <c r="G13" s="260">
        <f ca="1"/>
        <v>0</v>
      </c>
      <c r="H13" s="261">
        <f ca="1"/>
        <v>0</v>
      </c>
      <c r="I13" s="260">
        <f ca="1"/>
        <v>2.3362810212418776</v>
      </c>
      <c r="J13" s="175">
        <f ca="1"/>
        <v>2.2425162031174395E-3</v>
      </c>
      <c r="K13" s="263" t="s">
        <v>69</v>
      </c>
      <c r="L13" s="195">
        <f ca="1"/>
        <v>0</v>
      </c>
      <c r="M13" s="261">
        <f ca="1"/>
        <v>0</v>
      </c>
      <c r="N13" s="260">
        <f ca="1"/>
        <v>0</v>
      </c>
      <c r="O13" s="261">
        <f ca="1"/>
        <v>0</v>
      </c>
      <c r="P13" s="260">
        <f ca="1"/>
        <v>0</v>
      </c>
      <c r="Q13" s="261">
        <f ca="1"/>
        <v>0</v>
      </c>
      <c r="R13" s="260">
        <f ca="1"/>
        <v>0</v>
      </c>
      <c r="S13" s="175">
        <f ca="1"/>
        <v>0</v>
      </c>
      <c r="T13" s="263" t="s">
        <v>69</v>
      </c>
      <c r="U13" s="195">
        <f ca="1"/>
        <v>0</v>
      </c>
      <c r="V13" s="261">
        <f ca="1"/>
        <v>0</v>
      </c>
      <c r="W13" s="260">
        <f ca="1"/>
        <v>0</v>
      </c>
      <c r="X13" s="261">
        <f ca="1"/>
        <v>0</v>
      </c>
      <c r="Y13" s="260">
        <f ca="1"/>
        <v>0</v>
      </c>
      <c r="Z13" s="261">
        <f ca="1"/>
        <v>0</v>
      </c>
      <c r="AA13" s="260">
        <f ca="1"/>
        <v>0</v>
      </c>
      <c r="AB13" s="175">
        <f ca="1"/>
        <v>0</v>
      </c>
      <c r="AC13" s="185"/>
      <c r="AD13" s="183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5"/>
      <c r="AU13" s="185"/>
      <c r="AV13" s="185"/>
    </row>
    <row r="14" spans="1:48">
      <c r="A14" s="178" t="s">
        <v>70</v>
      </c>
      <c r="B14" s="263" t="s">
        <v>70</v>
      </c>
      <c r="C14" s="195">
        <f ca="1"/>
        <v>-3.3185490239020021E-6</v>
      </c>
      <c r="D14" s="261">
        <f ca="1"/>
        <v>-7.1330493976936493E-9</v>
      </c>
      <c r="E14" s="260">
        <f ca="1"/>
        <v>0</v>
      </c>
      <c r="F14" s="261">
        <f ca="1"/>
        <v>0</v>
      </c>
      <c r="G14" s="260">
        <f ca="1"/>
        <v>0</v>
      </c>
      <c r="H14" s="261">
        <f ca="1"/>
        <v>0</v>
      </c>
      <c r="I14" s="260">
        <f ca="1"/>
        <v>-352.594649790245</v>
      </c>
      <c r="J14" s="175">
        <f ca="1"/>
        <v>-0.34084964411215424</v>
      </c>
      <c r="K14" s="263" t="s">
        <v>70</v>
      </c>
      <c r="L14" s="195">
        <f ca="1"/>
        <v>0</v>
      </c>
      <c r="M14" s="261">
        <f ca="1"/>
        <v>0</v>
      </c>
      <c r="N14" s="260">
        <f ca="1"/>
        <v>0</v>
      </c>
      <c r="O14" s="261">
        <f ca="1"/>
        <v>0</v>
      </c>
      <c r="P14" s="260">
        <f ca="1"/>
        <v>0</v>
      </c>
      <c r="Q14" s="261">
        <f ca="1"/>
        <v>0</v>
      </c>
      <c r="R14" s="260">
        <f ca="1"/>
        <v>686.38779342922828</v>
      </c>
      <c r="S14" s="175">
        <f ca="1"/>
        <v>0.59603212162653563</v>
      </c>
      <c r="T14" s="263" t="s">
        <v>70</v>
      </c>
      <c r="U14" s="195">
        <f ca="1"/>
        <v>0</v>
      </c>
      <c r="V14" s="261">
        <f ca="1"/>
        <v>0</v>
      </c>
      <c r="W14" s="260">
        <f ca="1"/>
        <v>0</v>
      </c>
      <c r="X14" s="261">
        <f ca="1"/>
        <v>0</v>
      </c>
      <c r="Y14" s="260">
        <f ca="1"/>
        <v>0</v>
      </c>
      <c r="Z14" s="261">
        <f ca="1"/>
        <v>0</v>
      </c>
      <c r="AA14" s="260">
        <f ca="1"/>
        <v>2668.0442805340567</v>
      </c>
      <c r="AB14" s="175">
        <f ca="1"/>
        <v>0.23874298444297892</v>
      </c>
      <c r="AC14" s="185"/>
      <c r="AD14" s="183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5"/>
      <c r="AU14" s="185"/>
      <c r="AV14" s="185"/>
    </row>
    <row r="15" spans="1:48">
      <c r="A15" s="178" t="s">
        <v>71</v>
      </c>
      <c r="B15" s="263" t="s">
        <v>71</v>
      </c>
      <c r="C15" s="195">
        <f ca="1"/>
        <v>4.9366793260256976E-4</v>
      </c>
      <c r="D15" s="261">
        <f ca="1"/>
        <v>1.064507942438492E-6</v>
      </c>
      <c r="E15" s="260">
        <f ca="1"/>
        <v>0</v>
      </c>
      <c r="F15" s="261">
        <f ca="1"/>
        <v>0</v>
      </c>
      <c r="G15" s="260">
        <f ca="1"/>
        <v>0</v>
      </c>
      <c r="H15" s="261">
        <f ca="1"/>
        <v>0</v>
      </c>
      <c r="I15" s="260">
        <f ca="1"/>
        <v>156619.97703551454</v>
      </c>
      <c r="J15" s="175">
        <f ca="1"/>
        <v>142.33649670184241</v>
      </c>
      <c r="K15" s="263" t="s">
        <v>71</v>
      </c>
      <c r="L15" s="195">
        <f ca="1"/>
        <v>0</v>
      </c>
      <c r="M15" s="261">
        <f ca="1"/>
        <v>0</v>
      </c>
      <c r="N15" s="260">
        <f ca="1"/>
        <v>0</v>
      </c>
      <c r="O15" s="261">
        <f ca="1"/>
        <v>0</v>
      </c>
      <c r="P15" s="260">
        <f ca="1"/>
        <v>0</v>
      </c>
      <c r="Q15" s="261">
        <f ca="1"/>
        <v>0</v>
      </c>
      <c r="R15" s="260">
        <f ca="1"/>
        <v>154334.63996140123</v>
      </c>
      <c r="S15" s="175">
        <f ca="1"/>
        <v>140.14072350604692</v>
      </c>
      <c r="T15" s="263" t="s">
        <v>71</v>
      </c>
      <c r="U15" s="195">
        <f ca="1"/>
        <v>0</v>
      </c>
      <c r="V15" s="261">
        <f ca="1"/>
        <v>0</v>
      </c>
      <c r="W15" s="260">
        <f ca="1"/>
        <v>0</v>
      </c>
      <c r="X15" s="261">
        <f ca="1"/>
        <v>0</v>
      </c>
      <c r="Y15" s="260">
        <f ca="1"/>
        <v>0</v>
      </c>
      <c r="Z15" s="261">
        <f ca="1"/>
        <v>0</v>
      </c>
      <c r="AA15" s="260">
        <f ca="1"/>
        <v>523020.78904014797</v>
      </c>
      <c r="AB15" s="175">
        <f ca="1"/>
        <v>16.767095937451813</v>
      </c>
      <c r="AC15" s="185"/>
      <c r="AD15" s="183"/>
      <c r="AE15" s="183"/>
      <c r="AF15" s="183"/>
      <c r="AG15" s="183"/>
      <c r="AH15" s="183"/>
      <c r="AI15" s="183"/>
      <c r="AJ15" s="183"/>
      <c r="AK15" s="183"/>
      <c r="AL15" s="183"/>
      <c r="AM15" s="183"/>
      <c r="AN15" s="183"/>
      <c r="AO15" s="183"/>
      <c r="AP15" s="183"/>
      <c r="AQ15" s="183"/>
      <c r="AR15" s="183"/>
      <c r="AS15" s="183"/>
      <c r="AT15" s="185"/>
      <c r="AU15" s="185"/>
      <c r="AV15" s="185"/>
    </row>
    <row r="16" spans="1:48">
      <c r="A16" s="178" t="s">
        <v>72</v>
      </c>
      <c r="B16" s="263" t="s">
        <v>72</v>
      </c>
      <c r="C16" s="195">
        <f ca="1"/>
        <v>-0.1587994887627146</v>
      </c>
      <c r="D16" s="261">
        <f ca="1"/>
        <v>-3.4351778655439258E-4</v>
      </c>
      <c r="E16" s="260">
        <f ca="1"/>
        <v>-13310.739447880842</v>
      </c>
      <c r="F16" s="261">
        <f ca="1"/>
        <v>-17.827549341971462</v>
      </c>
      <c r="G16" s="260">
        <f ca="1"/>
        <v>0</v>
      </c>
      <c r="H16" s="261">
        <f ca="1"/>
        <v>0</v>
      </c>
      <c r="I16" s="260">
        <f ca="1"/>
        <v>62173.353495654614</v>
      </c>
      <c r="J16" s="175">
        <f ca="1"/>
        <v>60.493411944873515</v>
      </c>
      <c r="K16" s="263" t="s">
        <v>72</v>
      </c>
      <c r="L16" s="195">
        <f ca="1"/>
        <v>0</v>
      </c>
      <c r="M16" s="261">
        <f ca="1"/>
        <v>0</v>
      </c>
      <c r="N16" s="260">
        <f ca="1"/>
        <v>-13133.438525158632</v>
      </c>
      <c r="O16" s="261">
        <f ca="1"/>
        <v>-17.571929306195671</v>
      </c>
      <c r="P16" s="260">
        <f ca="1"/>
        <v>0</v>
      </c>
      <c r="Q16" s="261">
        <f ca="1"/>
        <v>0</v>
      </c>
      <c r="R16" s="260">
        <f ca="1"/>
        <v>61815.000516135318</v>
      </c>
      <c r="S16" s="175">
        <f ca="1"/>
        <v>60.218156314091175</v>
      </c>
      <c r="T16" s="263" t="s">
        <v>72</v>
      </c>
      <c r="U16" s="195">
        <f ca="1"/>
        <v>0</v>
      </c>
      <c r="V16" s="261">
        <f ca="1"/>
        <v>0</v>
      </c>
      <c r="W16" s="260">
        <f ca="1"/>
        <v>-77022.715026526974</v>
      </c>
      <c r="X16" s="261">
        <f ca="1"/>
        <v>-20.051134540190105</v>
      </c>
      <c r="Y16" s="260">
        <f ca="1"/>
        <v>0</v>
      </c>
      <c r="Z16" s="261">
        <f ca="1"/>
        <v>0</v>
      </c>
      <c r="AA16" s="260">
        <f ca="1"/>
        <v>164958.96620230621</v>
      </c>
      <c r="AB16" s="175">
        <f ca="1"/>
        <v>-15.928168675105553</v>
      </c>
      <c r="AC16" s="185"/>
      <c r="AD16" s="183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183"/>
      <c r="AP16" s="183"/>
      <c r="AQ16" s="183"/>
      <c r="AR16" s="183"/>
      <c r="AS16" s="183"/>
      <c r="AT16" s="185"/>
      <c r="AU16" s="185"/>
      <c r="AV16" s="185"/>
    </row>
    <row r="17" spans="1:48">
      <c r="A17" s="178" t="s">
        <v>73</v>
      </c>
      <c r="B17" s="263" t="s">
        <v>73</v>
      </c>
      <c r="C17" s="195">
        <f ca="1"/>
        <v>77.327214954235515</v>
      </c>
      <c r="D17" s="261">
        <f ca="1"/>
        <v>0.16782492673600302</v>
      </c>
      <c r="E17" s="260">
        <f ca="1"/>
        <v>-132997.89042286429</v>
      </c>
      <c r="F17" s="261">
        <f ca="1"/>
        <v>-178.13956858043093</v>
      </c>
      <c r="G17" s="260">
        <f ca="1"/>
        <v>96493.982572138877</v>
      </c>
      <c r="H17" s="261">
        <f ca="1"/>
        <v>149.79833744403732</v>
      </c>
      <c r="I17" s="260">
        <f ca="1"/>
        <v>152061.86697842955</v>
      </c>
      <c r="J17" s="175">
        <f ca="1"/>
        <v>207.06241471422254</v>
      </c>
      <c r="K17" s="263" t="s">
        <v>73</v>
      </c>
      <c r="L17" s="195">
        <f ca="1"/>
        <v>0</v>
      </c>
      <c r="M17" s="261">
        <f ca="1"/>
        <v>0</v>
      </c>
      <c r="N17" s="260">
        <f ca="1"/>
        <v>-131579.42963499689</v>
      </c>
      <c r="O17" s="261">
        <f ca="1"/>
        <v>-176.0946793204057</v>
      </c>
      <c r="P17" s="260">
        <f ca="1"/>
        <v>95948.594915226742</v>
      </c>
      <c r="Q17" s="261">
        <f ca="1"/>
        <v>148.89958939129428</v>
      </c>
      <c r="R17" s="260">
        <f ca="1"/>
        <v>150816.2577555746</v>
      </c>
      <c r="S17" s="175">
        <f ca="1"/>
        <v>205.27946654942934</v>
      </c>
      <c r="T17" s="263" t="s">
        <v>73</v>
      </c>
      <c r="U17" s="195">
        <f ca="1"/>
        <v>0</v>
      </c>
      <c r="V17" s="261">
        <f ca="1"/>
        <v>0</v>
      </c>
      <c r="W17" s="260">
        <f ca="1"/>
        <v>-573146.78521251096</v>
      </c>
      <c r="X17" s="261">
        <f ca="1"/>
        <v>18.648006548988633</v>
      </c>
      <c r="Y17" s="260">
        <f ca="1"/>
        <v>169295.4811353503</v>
      </c>
      <c r="Z17" s="261">
        <f ca="1"/>
        <v>32.681557639327366</v>
      </c>
      <c r="AA17" s="260">
        <f ca="1"/>
        <v>291225.50190295512</v>
      </c>
      <c r="AB17" s="175">
        <f ca="1"/>
        <v>-0.14008122234372422</v>
      </c>
      <c r="AC17" s="185"/>
      <c r="AD17" s="183"/>
      <c r="AE17" s="183"/>
      <c r="AF17" s="183"/>
      <c r="AG17" s="183"/>
      <c r="AH17" s="183"/>
      <c r="AI17" s="183"/>
      <c r="AJ17" s="183"/>
      <c r="AK17" s="183"/>
      <c r="AL17" s="183"/>
      <c r="AM17" s="183"/>
      <c r="AN17" s="183"/>
      <c r="AO17" s="183"/>
      <c r="AP17" s="183"/>
      <c r="AQ17" s="183"/>
      <c r="AR17" s="183"/>
      <c r="AS17" s="183"/>
      <c r="AT17" s="185"/>
      <c r="AU17" s="185"/>
      <c r="AV17" s="185"/>
    </row>
    <row r="18" spans="1:48">
      <c r="A18" s="178" t="s">
        <v>74</v>
      </c>
      <c r="B18" s="263" t="s">
        <v>74</v>
      </c>
      <c r="C18" s="195">
        <f ca="1"/>
        <v>-69391.618512828645</v>
      </c>
      <c r="D18" s="261">
        <f ca="1"/>
        <v>-151.07699802934076</v>
      </c>
      <c r="E18" s="260">
        <f ca="1"/>
        <v>116507.22548013018</v>
      </c>
      <c r="F18" s="261">
        <f ca="1"/>
        <v>254.74846462756977</v>
      </c>
      <c r="G18" s="260">
        <f ca="1"/>
        <v>99981.796479772893</v>
      </c>
      <c r="H18" s="261">
        <f ca="1"/>
        <v>165.8480947107455</v>
      </c>
      <c r="I18" s="260">
        <f ca="1"/>
        <v>0</v>
      </c>
      <c r="J18" s="175">
        <f ca="1"/>
        <v>0</v>
      </c>
      <c r="K18" s="263" t="s">
        <v>74</v>
      </c>
      <c r="L18" s="195">
        <f ca="1"/>
        <v>-68952.466024193622</v>
      </c>
      <c r="M18" s="261">
        <f ca="1"/>
        <v>-150.02836610942904</v>
      </c>
      <c r="N18" s="260">
        <f ca="1"/>
        <v>115574.61083506049</v>
      </c>
      <c r="O18" s="261">
        <f ca="1"/>
        <v>252.61400398085243</v>
      </c>
      <c r="P18" s="260">
        <f ca="1"/>
        <v>99557.433551637238</v>
      </c>
      <c r="Q18" s="261">
        <f ca="1"/>
        <v>165.10374231763126</v>
      </c>
      <c r="R18" s="260">
        <f ca="1"/>
        <v>0</v>
      </c>
      <c r="S18" s="175">
        <f ca="1"/>
        <v>0</v>
      </c>
      <c r="T18" s="263" t="s">
        <v>74</v>
      </c>
      <c r="U18" s="195">
        <f ca="1"/>
        <v>-177599.8642724595</v>
      </c>
      <c r="V18" s="261">
        <f ca="1"/>
        <v>-56.293122474657139</v>
      </c>
      <c r="W18" s="260">
        <f ca="1"/>
        <v>334844.45849164005</v>
      </c>
      <c r="X18" s="261">
        <f ca="1"/>
        <v>108.75242625764804</v>
      </c>
      <c r="Y18" s="260">
        <f ca="1"/>
        <v>110342.09470031221</v>
      </c>
      <c r="Z18" s="261">
        <f ca="1"/>
        <v>-20.241787941995426</v>
      </c>
      <c r="AA18" s="260">
        <f ca="1"/>
        <v>0</v>
      </c>
      <c r="AB18" s="175">
        <f ca="1"/>
        <v>0</v>
      </c>
      <c r="AC18" s="173"/>
      <c r="AD18" s="183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5"/>
      <c r="AU18" s="185"/>
      <c r="AV18" s="185"/>
    </row>
    <row r="19" spans="1:48">
      <c r="A19" s="178" t="s">
        <v>75</v>
      </c>
      <c r="B19" s="263" t="s">
        <v>75</v>
      </c>
      <c r="C19" s="195">
        <f ca="1"/>
        <v>40713.648624691181</v>
      </c>
      <c r="D19" s="261">
        <f ca="1"/>
        <v>141.84428139605734</v>
      </c>
      <c r="E19" s="260">
        <f ca="1"/>
        <v>577034.30452246848</v>
      </c>
      <c r="F19" s="261">
        <f ca="1"/>
        <v>1308.6439283303916</v>
      </c>
      <c r="G19" s="260">
        <f ca="1"/>
        <v>250455.07455735418</v>
      </c>
      <c r="H19" s="261">
        <f ca="1"/>
        <v>574.645859913202</v>
      </c>
      <c r="I19" s="260">
        <f ca="1"/>
        <v>0</v>
      </c>
      <c r="J19" s="175">
        <f ca="1"/>
        <v>0</v>
      </c>
      <c r="K19" s="263" t="s">
        <v>75</v>
      </c>
      <c r="L19" s="195">
        <f ca="1"/>
        <v>40582.609696497042</v>
      </c>
      <c r="M19" s="261">
        <f ca="1"/>
        <v>141.30382942241704</v>
      </c>
      <c r="N19" s="260">
        <f ca="1"/>
        <v>573336.55124712922</v>
      </c>
      <c r="O19" s="261">
        <f ca="1"/>
        <v>1299.8806922731455</v>
      </c>
      <c r="P19" s="260">
        <f ca="1"/>
        <v>249604.17174806679</v>
      </c>
      <c r="Q19" s="261">
        <f ca="1"/>
        <v>572.6125216242508</v>
      </c>
      <c r="R19" s="260">
        <f ca="1"/>
        <v>0</v>
      </c>
      <c r="S19" s="175">
        <f ca="1"/>
        <v>0</v>
      </c>
      <c r="T19" s="263" t="s">
        <v>75</v>
      </c>
      <c r="U19" s="195">
        <f ca="1"/>
        <v>74318.494968060884</v>
      </c>
      <c r="V19" s="261">
        <f ca="1"/>
        <v>84.086886935911025</v>
      </c>
      <c r="W19" s="260">
        <f ca="1"/>
        <v>1172691.3299685384</v>
      </c>
      <c r="X19" s="261">
        <f ca="1"/>
        <v>-96.039568616542965</v>
      </c>
      <c r="Y19" s="260">
        <f ca="1"/>
        <v>186267.68708914297</v>
      </c>
      <c r="Z19" s="261">
        <f ca="1"/>
        <v>-5.9984178650192916</v>
      </c>
      <c r="AA19" s="260">
        <f ca="1"/>
        <v>0</v>
      </c>
      <c r="AB19" s="175">
        <f ca="1"/>
        <v>0</v>
      </c>
      <c r="AC19" s="173"/>
      <c r="AD19" s="183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5"/>
      <c r="AU19" s="185"/>
      <c r="AV19" s="185"/>
    </row>
    <row r="20" spans="1:48">
      <c r="A20" s="178" t="s">
        <v>76</v>
      </c>
      <c r="B20" s="263" t="s">
        <v>76</v>
      </c>
      <c r="C20" s="195">
        <f ca="1"/>
        <v>52492.542023162649</v>
      </c>
      <c r="D20" s="261">
        <f ca="1"/>
        <v>126.48034848639509</v>
      </c>
      <c r="E20" s="260">
        <f ca="1"/>
        <v>0</v>
      </c>
      <c r="F20" s="261">
        <f ca="1"/>
        <v>0</v>
      </c>
      <c r="G20" s="260">
        <f ca="1"/>
        <v>130153.6622635994</v>
      </c>
      <c r="H20" s="261">
        <f ca="1"/>
        <v>441.41623797395732</v>
      </c>
      <c r="I20" s="260">
        <f ca="1"/>
        <v>0</v>
      </c>
      <c r="J20" s="175">
        <f ca="1"/>
        <v>0</v>
      </c>
      <c r="K20" s="263" t="s">
        <v>76</v>
      </c>
      <c r="L20" s="195">
        <f ca="1"/>
        <v>52269.360401454032</v>
      </c>
      <c r="M20" s="261">
        <f ca="1"/>
        <v>125.92759795000893</v>
      </c>
      <c r="N20" s="260">
        <f ca="1"/>
        <v>0</v>
      </c>
      <c r="O20" s="261">
        <f ca="1"/>
        <v>0</v>
      </c>
      <c r="P20" s="260">
        <f ca="1"/>
        <v>129784.90313314996</v>
      </c>
      <c r="Q20" s="261">
        <f ca="1"/>
        <v>440.13049185654381</v>
      </c>
      <c r="R20" s="260">
        <f ca="1"/>
        <v>0</v>
      </c>
      <c r="S20" s="175">
        <f ca="1"/>
        <v>0</v>
      </c>
      <c r="T20" s="263" t="s">
        <v>76</v>
      </c>
      <c r="U20" s="195">
        <f ca="1"/>
        <v>70602.265342337312</v>
      </c>
      <c r="V20" s="261">
        <f ca="1"/>
        <v>-30.123721636482514</v>
      </c>
      <c r="W20" s="260">
        <f ca="1"/>
        <v>0</v>
      </c>
      <c r="X20" s="261">
        <f ca="1"/>
        <v>0</v>
      </c>
      <c r="Y20" s="260">
        <f ca="1"/>
        <v>67221.542638484927</v>
      </c>
      <c r="Z20" s="261">
        <f ca="1"/>
        <v>38.980244569436763</v>
      </c>
      <c r="AA20" s="260">
        <f ca="1"/>
        <v>0</v>
      </c>
      <c r="AB20" s="175">
        <f ca="1"/>
        <v>0</v>
      </c>
      <c r="AC20" s="173"/>
      <c r="AD20" s="183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5"/>
      <c r="AU20" s="185"/>
      <c r="AV20" s="185"/>
    </row>
    <row r="21" spans="1:48">
      <c r="A21" s="178" t="s">
        <v>77</v>
      </c>
      <c r="B21" s="263" t="s">
        <v>77</v>
      </c>
      <c r="C21" s="195"/>
      <c r="D21" s="261"/>
      <c r="E21" s="260"/>
      <c r="F21" s="261"/>
      <c r="G21" s="260">
        <f ca="1"/>
        <v>260211.64274493675</v>
      </c>
      <c r="H21" s="261">
        <f ca="1"/>
        <v>882.51725686437567</v>
      </c>
      <c r="I21" s="260"/>
      <c r="J21" s="175"/>
      <c r="K21" s="263" t="s">
        <v>77</v>
      </c>
      <c r="L21" s="195"/>
      <c r="M21" s="261"/>
      <c r="N21" s="260"/>
      <c r="O21" s="261"/>
      <c r="P21" s="260">
        <f ca="1"/>
        <v>259658.50800028743</v>
      </c>
      <c r="Q21" s="261">
        <f ca="1"/>
        <v>880.58866934900288</v>
      </c>
      <c r="R21" s="260"/>
      <c r="S21" s="175"/>
      <c r="T21" s="263" t="s">
        <v>77</v>
      </c>
      <c r="U21" s="195"/>
      <c r="V21" s="261"/>
      <c r="W21" s="260"/>
      <c r="X21" s="261"/>
      <c r="Y21" s="260">
        <f ca="1"/>
        <v>71515.886435352702</v>
      </c>
      <c r="Z21" s="261">
        <f ca="1"/>
        <v>-27.633604962509708</v>
      </c>
      <c r="AA21" s="260"/>
      <c r="AB21" s="175"/>
      <c r="AC21" s="173"/>
      <c r="AD21" s="183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5"/>
      <c r="AU21" s="185"/>
      <c r="AV21" s="185"/>
    </row>
    <row r="22" spans="1:48" ht="15.75" thickBot="1">
      <c r="A22" s="178" t="s">
        <v>78</v>
      </c>
      <c r="B22" s="264" t="s">
        <v>78</v>
      </c>
      <c r="C22" s="196"/>
      <c r="D22" s="197"/>
      <c r="E22" s="198"/>
      <c r="F22" s="197"/>
      <c r="G22" s="198">
        <f ca="1"/>
        <v>549721.55722722632</v>
      </c>
      <c r="H22" s="197">
        <f ca="1"/>
        <v>2610.5877847584197</v>
      </c>
      <c r="I22" s="198"/>
      <c r="J22" s="174"/>
      <c r="K22" s="264" t="s">
        <v>78</v>
      </c>
      <c r="L22" s="196"/>
      <c r="M22" s="197"/>
      <c r="N22" s="198"/>
      <c r="O22" s="197"/>
      <c r="P22" s="198">
        <f ca="1"/>
        <v>548786.36341546744</v>
      </c>
      <c r="Q22" s="197">
        <f ca="1"/>
        <v>2606.0576142829377</v>
      </c>
      <c r="R22" s="198"/>
      <c r="S22" s="174"/>
      <c r="T22" s="264" t="s">
        <v>78</v>
      </c>
      <c r="U22" s="196"/>
      <c r="V22" s="197"/>
      <c r="W22" s="198"/>
      <c r="X22" s="197"/>
      <c r="Y22" s="198">
        <f ca="1"/>
        <v>85048.973065234284</v>
      </c>
      <c r="Z22" s="197">
        <f ca="1"/>
        <v>0</v>
      </c>
      <c r="AA22" s="198"/>
      <c r="AB22" s="174"/>
      <c r="AC22" s="17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5"/>
      <c r="AU22" s="185"/>
      <c r="AV22" s="185"/>
    </row>
    <row r="23" spans="1:48">
      <c r="A23" s="178"/>
      <c r="B23" s="255"/>
      <c r="C23" s="255"/>
      <c r="D23" s="255"/>
      <c r="E23" s="255"/>
      <c r="F23" s="255"/>
      <c r="G23" s="255"/>
      <c r="H23" s="255"/>
      <c r="I23" s="255"/>
      <c r="J23" s="255"/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183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5"/>
      <c r="AU23" s="185"/>
      <c r="AV23" s="185"/>
    </row>
    <row r="24" spans="1:48">
      <c r="A24" s="255"/>
      <c r="B24" s="255"/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77"/>
      <c r="P24" s="277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50"/>
      <c r="AU24" s="50"/>
      <c r="AV24" s="50"/>
    </row>
    <row r="25" spans="1:48" ht="15.75" thickBot="1">
      <c r="A25" s="255"/>
      <c r="B25" s="227" t="s">
        <v>319</v>
      </c>
      <c r="C25" s="258"/>
      <c r="D25" s="258"/>
      <c r="E25" s="255"/>
      <c r="F25" s="255"/>
      <c r="G25" s="256"/>
      <c r="H25" s="255"/>
      <c r="I25" s="262"/>
      <c r="J25" s="255"/>
      <c r="K25" s="259"/>
      <c r="L25" s="184"/>
      <c r="M25" s="255"/>
      <c r="N25" s="255"/>
      <c r="O25" s="277"/>
      <c r="P25" s="277"/>
      <c r="Q25" s="255"/>
      <c r="R25" s="255"/>
      <c r="S25" s="255"/>
      <c r="T25" s="255"/>
      <c r="U25" s="255"/>
      <c r="V25" s="255"/>
      <c r="W25" s="255"/>
      <c r="X25" s="255"/>
      <c r="Y25" s="255"/>
      <c r="Z25" s="255"/>
      <c r="AA25" s="255"/>
      <c r="AB25" s="255"/>
      <c r="AC25" s="255"/>
      <c r="AD25" s="183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50"/>
      <c r="AU25" s="50"/>
      <c r="AV25" s="50"/>
    </row>
    <row r="26" spans="1:48">
      <c r="A26" s="255"/>
      <c r="B26" s="255"/>
      <c r="C26" s="224" t="s">
        <v>114</v>
      </c>
      <c r="D26" s="225" t="s">
        <v>115</v>
      </c>
      <c r="E26" s="255"/>
      <c r="F26" s="255"/>
      <c r="G26" s="224" t="s">
        <v>114</v>
      </c>
      <c r="H26" s="225" t="s">
        <v>115</v>
      </c>
      <c r="I26" s="255"/>
      <c r="J26" s="255"/>
      <c r="K26" s="224" t="s">
        <v>114</v>
      </c>
      <c r="L26" s="225" t="s">
        <v>115</v>
      </c>
      <c r="M26" s="255"/>
      <c r="N26" s="255"/>
      <c r="O26" s="277"/>
      <c r="P26" s="277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50"/>
      <c r="AU26" s="50"/>
      <c r="AV26" s="50"/>
    </row>
    <row r="27" spans="1:48" ht="15.75" thickBot="1">
      <c r="A27" s="255"/>
      <c r="B27" s="255"/>
      <c r="C27" s="311" t="s">
        <v>22</v>
      </c>
      <c r="D27" s="312"/>
      <c r="E27" s="255"/>
      <c r="F27" s="255"/>
      <c r="G27" s="311" t="s">
        <v>116</v>
      </c>
      <c r="H27" s="312"/>
      <c r="I27" s="255"/>
      <c r="J27" s="255"/>
      <c r="K27" s="311" t="s">
        <v>117</v>
      </c>
      <c r="L27" s="312"/>
      <c r="M27" s="255"/>
      <c r="N27" s="255"/>
      <c r="O27" s="277"/>
      <c r="P27" s="277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183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50"/>
      <c r="AU27" s="50"/>
      <c r="AV27" s="50"/>
    </row>
    <row r="28" spans="1:48">
      <c r="A28" s="255"/>
      <c r="B28" s="266" t="s">
        <v>347</v>
      </c>
      <c r="C28" s="226">
        <f t="array" aca="1" ref="C28:C64" ca="1">CalculatePV01(C27,Pricing!$B$2,Pricing!$B$10:$Y$139,INDIRECT(C27&amp;"_Disc"))</f>
        <v>9.0720478145674716E-2</v>
      </c>
      <c r="D28" s="268">
        <f t="array" aca="1" ref="D28:D64" ca="1">CalculatePV02(C27,Pricing!$B$2,Pricing!$B$10:$Y$139,INDIRECT(C27&amp;"_Disc"))</f>
        <v>-2.4854925519362933E-8</v>
      </c>
      <c r="E28" s="255"/>
      <c r="F28" s="266" t="s">
        <v>347</v>
      </c>
      <c r="G28" s="226">
        <f t="array" aca="1" ref="G28:G64" ca="1">CalculatePV01(G27,Pricing!$B$2,Pricing!$B$10:$Y$139,INDIRECT(G27&amp;"_Disc"))</f>
        <v>-0.65224750994517655</v>
      </c>
      <c r="H28" s="268">
        <f t="array" aca="1" ref="H28:H64" ca="1">CalculatePV02(G27,Pricing!$B$2,Pricing!$B$10:$Y$139,INDIRECT(G27&amp;"_Disc"))</f>
        <v>1.7869794793018537E-7</v>
      </c>
      <c r="I28" s="255"/>
      <c r="J28" s="266" t="s">
        <v>347</v>
      </c>
      <c r="K28" s="226">
        <f t="array" aca="1" ref="K28:K64" ca="1">CalculatePV01(K27,Pricing!$B$2,Pricing!$B$10:$Y$139,INDIRECT(K27&amp;"_Disc"))</f>
        <v>4.4245207701832268E-2</v>
      </c>
      <c r="L28" s="268">
        <f t="array" aca="1" ref="L28:L64" ca="1">CalculatePV02(K27,Pricing!$B$2,Pricing!$B$10:$Y$139,INDIRECT(K27&amp;"_Disc"))</f>
        <v>-1.2121974712830759E-8</v>
      </c>
      <c r="M28" s="255"/>
      <c r="N28" s="255"/>
      <c r="O28" s="277"/>
      <c r="P28" s="277"/>
      <c r="Q28" s="255"/>
      <c r="R28" s="255"/>
      <c r="S28" s="255"/>
      <c r="T28" s="255"/>
      <c r="U28" s="255"/>
      <c r="V28" s="255"/>
      <c r="W28" s="255"/>
      <c r="X28" s="255"/>
      <c r="Y28" s="255"/>
      <c r="Z28" s="255"/>
      <c r="AA28" s="255"/>
      <c r="AB28" s="255"/>
      <c r="AC28" s="255"/>
      <c r="AD28" s="183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50"/>
      <c r="AU28" s="50"/>
      <c r="AV28" s="50"/>
    </row>
    <row r="29" spans="1:48">
      <c r="A29" s="255"/>
      <c r="B29" s="263" t="s">
        <v>348</v>
      </c>
      <c r="C29" s="200">
        <f ca="1"/>
        <v>0</v>
      </c>
      <c r="D29" s="265">
        <f ca="1"/>
        <v>0</v>
      </c>
      <c r="E29" s="255"/>
      <c r="F29" s="263" t="s">
        <v>348</v>
      </c>
      <c r="G29" s="200">
        <f ca="1"/>
        <v>0</v>
      </c>
      <c r="H29" s="265">
        <f ca="1"/>
        <v>0</v>
      </c>
      <c r="I29" s="255"/>
      <c r="J29" s="263" t="s">
        <v>348</v>
      </c>
      <c r="K29" s="200">
        <f ca="1"/>
        <v>0</v>
      </c>
      <c r="L29" s="265">
        <f ca="1"/>
        <v>0</v>
      </c>
      <c r="M29" s="255"/>
      <c r="N29" s="255"/>
      <c r="O29" s="277"/>
      <c r="P29" s="277"/>
      <c r="Q29" s="255"/>
      <c r="R29" s="255"/>
      <c r="S29" s="255"/>
      <c r="T29" s="255"/>
      <c r="U29" s="255"/>
      <c r="V29" s="255"/>
      <c r="W29" s="255"/>
      <c r="X29" s="255"/>
      <c r="Y29" s="255"/>
      <c r="Z29" s="255"/>
      <c r="AA29" s="255"/>
      <c r="AB29" s="255"/>
      <c r="AC29" s="255"/>
      <c r="AD29" s="183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50"/>
      <c r="AU29" s="50"/>
      <c r="AV29" s="50"/>
    </row>
    <row r="30" spans="1:48">
      <c r="A30" s="255"/>
      <c r="B30" s="263" t="s">
        <v>349</v>
      </c>
      <c r="C30" s="200">
        <f ca="1"/>
        <v>0</v>
      </c>
      <c r="D30" s="265">
        <f ca="1"/>
        <v>0</v>
      </c>
      <c r="E30" s="255"/>
      <c r="F30" s="263" t="s">
        <v>349</v>
      </c>
      <c r="G30" s="200">
        <f ca="1"/>
        <v>0</v>
      </c>
      <c r="H30" s="265">
        <f ca="1"/>
        <v>0</v>
      </c>
      <c r="I30" s="255"/>
      <c r="J30" s="263" t="s">
        <v>349</v>
      </c>
      <c r="K30" s="200">
        <f ca="1"/>
        <v>0</v>
      </c>
      <c r="L30" s="265">
        <f ca="1"/>
        <v>0</v>
      </c>
      <c r="M30" s="255"/>
      <c r="N30" s="255"/>
      <c r="O30" s="277"/>
      <c r="P30" s="277"/>
      <c r="Q30" s="255"/>
      <c r="R30" s="276"/>
      <c r="S30" s="255"/>
      <c r="T30" s="255"/>
      <c r="U30" s="255"/>
      <c r="V30" s="255"/>
      <c r="W30" s="255"/>
      <c r="X30" s="255"/>
      <c r="Y30" s="255"/>
      <c r="Z30" s="255"/>
      <c r="AA30" s="255"/>
      <c r="AB30" s="255"/>
      <c r="AC30" s="255"/>
      <c r="AD30" s="183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50"/>
      <c r="AU30" s="50"/>
      <c r="AV30" s="50"/>
    </row>
    <row r="31" spans="1:48">
      <c r="A31" s="255"/>
      <c r="B31" s="263" t="s">
        <v>350</v>
      </c>
      <c r="C31" s="200">
        <f ca="1"/>
        <v>0</v>
      </c>
      <c r="D31" s="265">
        <f ca="1"/>
        <v>0</v>
      </c>
      <c r="E31" s="255"/>
      <c r="F31" s="263" t="s">
        <v>350</v>
      </c>
      <c r="G31" s="200">
        <f ca="1"/>
        <v>0</v>
      </c>
      <c r="H31" s="265">
        <f ca="1"/>
        <v>0</v>
      </c>
      <c r="I31" s="255"/>
      <c r="J31" s="263" t="s">
        <v>350</v>
      </c>
      <c r="K31" s="200">
        <f ca="1"/>
        <v>0</v>
      </c>
      <c r="L31" s="265">
        <f ca="1"/>
        <v>0</v>
      </c>
      <c r="M31" s="255"/>
      <c r="N31" s="255"/>
      <c r="O31" s="277"/>
      <c r="P31" s="277"/>
      <c r="Q31" s="255"/>
      <c r="R31" s="276"/>
      <c r="S31" s="255"/>
      <c r="T31" s="255"/>
      <c r="U31" s="255"/>
      <c r="V31" s="255"/>
      <c r="W31" s="255"/>
      <c r="X31" s="255"/>
      <c r="Y31" s="255"/>
      <c r="Z31" s="255"/>
      <c r="AA31" s="255"/>
      <c r="AB31" s="255"/>
      <c r="AC31" s="255"/>
      <c r="AD31" s="183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50"/>
      <c r="AU31" s="50"/>
      <c r="AV31" s="50"/>
    </row>
    <row r="32" spans="1:48">
      <c r="A32" s="255"/>
      <c r="B32" s="263" t="s">
        <v>351</v>
      </c>
      <c r="C32" s="200">
        <f ca="1"/>
        <v>0</v>
      </c>
      <c r="D32" s="265">
        <f ca="1"/>
        <v>0</v>
      </c>
      <c r="E32" s="255"/>
      <c r="F32" s="263" t="s">
        <v>351</v>
      </c>
      <c r="G32" s="200">
        <f ca="1"/>
        <v>0</v>
      </c>
      <c r="H32" s="265">
        <f ca="1"/>
        <v>0</v>
      </c>
      <c r="I32" s="255"/>
      <c r="J32" s="263" t="s">
        <v>351</v>
      </c>
      <c r="K32" s="200">
        <f ca="1"/>
        <v>0</v>
      </c>
      <c r="L32" s="265">
        <f ca="1"/>
        <v>0</v>
      </c>
      <c r="M32" s="255"/>
      <c r="N32" s="255"/>
      <c r="O32" s="277"/>
      <c r="P32" s="277"/>
      <c r="Q32" s="255"/>
      <c r="R32" s="276"/>
      <c r="S32" s="255"/>
      <c r="T32" s="255"/>
      <c r="U32" s="255"/>
      <c r="V32" s="255"/>
      <c r="W32" s="255"/>
      <c r="X32" s="255"/>
      <c r="Y32" s="255"/>
      <c r="Z32" s="255"/>
      <c r="AA32" s="255"/>
      <c r="AB32" s="255"/>
      <c r="AC32" s="255"/>
      <c r="AD32" s="183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50"/>
      <c r="AU32" s="50"/>
      <c r="AV32" s="50"/>
    </row>
    <row r="33" spans="1:48">
      <c r="A33" s="255"/>
      <c r="B33" s="263" t="s">
        <v>352</v>
      </c>
      <c r="C33" s="200">
        <f ca="1"/>
        <v>0</v>
      </c>
      <c r="D33" s="265">
        <f ca="1"/>
        <v>0</v>
      </c>
      <c r="E33" s="255"/>
      <c r="F33" s="263" t="s">
        <v>352</v>
      </c>
      <c r="G33" s="200">
        <f ca="1"/>
        <v>-25.201724549170674</v>
      </c>
      <c r="H33" s="265">
        <f ca="1"/>
        <v>4.3498867030075417E-4</v>
      </c>
      <c r="I33" s="255"/>
      <c r="J33" s="263" t="s">
        <v>352</v>
      </c>
      <c r="K33" s="200">
        <f ca="1"/>
        <v>0</v>
      </c>
      <c r="L33" s="265">
        <f ca="1"/>
        <v>0</v>
      </c>
      <c r="M33" s="255"/>
      <c r="N33" s="255"/>
      <c r="O33" s="277"/>
      <c r="P33" s="277"/>
      <c r="Q33" s="255"/>
      <c r="R33" s="276"/>
      <c r="S33" s="255"/>
      <c r="T33" s="255"/>
      <c r="U33" s="255"/>
      <c r="V33" s="255"/>
      <c r="W33" s="255"/>
      <c r="X33" s="255"/>
      <c r="Y33" s="255"/>
      <c r="Z33" s="255"/>
      <c r="AA33" s="255"/>
      <c r="AB33" s="255"/>
      <c r="AC33" s="255"/>
      <c r="AD33" s="183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50"/>
      <c r="AU33" s="50"/>
      <c r="AV33" s="50"/>
    </row>
    <row r="34" spans="1:48">
      <c r="A34" s="255"/>
      <c r="B34" s="263" t="s">
        <v>353</v>
      </c>
      <c r="C34" s="200">
        <f ca="1"/>
        <v>0.89435650694433255</v>
      </c>
      <c r="D34" s="265">
        <f ca="1"/>
        <v>-2.2542684558596876E-5</v>
      </c>
      <c r="E34" s="255"/>
      <c r="F34" s="263" t="s">
        <v>353</v>
      </c>
      <c r="G34" s="200">
        <f ca="1"/>
        <v>-2.7001847731254296</v>
      </c>
      <c r="H34" s="265">
        <f ca="1"/>
        <v>4.6605928960795087E-5</v>
      </c>
      <c r="I34" s="255"/>
      <c r="J34" s="263" t="s">
        <v>353</v>
      </c>
      <c r="K34" s="200">
        <f ca="1"/>
        <v>0</v>
      </c>
      <c r="L34" s="265">
        <f ca="1"/>
        <v>0</v>
      </c>
      <c r="M34" s="255"/>
      <c r="N34" s="255"/>
      <c r="O34" s="277"/>
      <c r="P34" s="277"/>
      <c r="Q34" s="255"/>
      <c r="R34" s="276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183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50"/>
      <c r="AU34" s="50"/>
      <c r="AV34" s="50"/>
    </row>
    <row r="35" spans="1:48">
      <c r="A35" s="255"/>
      <c r="B35" s="263" t="s">
        <v>354</v>
      </c>
      <c r="C35" s="200">
        <f ca="1"/>
        <v>6.5948092952752049</v>
      </c>
      <c r="D35" s="265">
        <f ca="1"/>
        <v>-2.2736915487670751E-4</v>
      </c>
      <c r="E35" s="255"/>
      <c r="F35" s="263" t="s">
        <v>354</v>
      </c>
      <c r="G35" s="200">
        <f ca="1"/>
        <v>0</v>
      </c>
      <c r="H35" s="265">
        <f ca="1"/>
        <v>0</v>
      </c>
      <c r="I35" s="255"/>
      <c r="J35" s="263" t="s">
        <v>354</v>
      </c>
      <c r="K35" s="200">
        <f ca="1"/>
        <v>0</v>
      </c>
      <c r="L35" s="265">
        <f ca="1"/>
        <v>0</v>
      </c>
      <c r="M35" s="255"/>
      <c r="N35" s="255"/>
      <c r="O35" s="277"/>
      <c r="P35" s="277"/>
      <c r="Q35" s="255"/>
      <c r="R35" s="276"/>
      <c r="S35" s="255"/>
      <c r="T35" s="255"/>
      <c r="U35" s="255"/>
      <c r="V35" s="255"/>
      <c r="W35" s="255"/>
      <c r="X35" s="255"/>
      <c r="Y35" s="255"/>
      <c r="Z35" s="255"/>
      <c r="AA35" s="255"/>
      <c r="AB35" s="255"/>
      <c r="AC35" s="255"/>
      <c r="AD35" s="183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50"/>
      <c r="AU35" s="50"/>
      <c r="AV35" s="50"/>
    </row>
    <row r="36" spans="1:48">
      <c r="A36" s="255"/>
      <c r="B36" s="263" t="s">
        <v>355</v>
      </c>
      <c r="C36" s="200">
        <f ca="1"/>
        <v>1.262301810716423</v>
      </c>
      <c r="D36" s="265">
        <f ca="1"/>
        <v>-4.3575350178155972E-5</v>
      </c>
      <c r="E36" s="255"/>
      <c r="F36" s="263" t="s">
        <v>355</v>
      </c>
      <c r="G36" s="200">
        <f ca="1"/>
        <v>0</v>
      </c>
      <c r="H36" s="265">
        <f ca="1"/>
        <v>0</v>
      </c>
      <c r="I36" s="255"/>
      <c r="J36" s="263" t="s">
        <v>355</v>
      </c>
      <c r="K36" s="200">
        <f ca="1"/>
        <v>0</v>
      </c>
      <c r="L36" s="265">
        <f ca="1"/>
        <v>0</v>
      </c>
      <c r="M36" s="255"/>
      <c r="N36" s="255"/>
      <c r="O36" s="277"/>
      <c r="P36" s="277"/>
      <c r="Q36" s="255"/>
      <c r="R36" s="276"/>
      <c r="S36" s="255"/>
      <c r="T36" s="255"/>
      <c r="U36" s="255"/>
      <c r="V36" s="255"/>
      <c r="W36" s="255"/>
      <c r="X36" s="255"/>
      <c r="Y36" s="255"/>
      <c r="Z36" s="255"/>
      <c r="AA36" s="255"/>
      <c r="AB36" s="255"/>
      <c r="AC36" s="255"/>
      <c r="AD36" s="183"/>
      <c r="AE36" s="183"/>
      <c r="AF36" s="183"/>
      <c r="AG36" s="183"/>
      <c r="AH36" s="183"/>
      <c r="AI36" s="183"/>
      <c r="AJ36" s="183"/>
      <c r="AK36" s="183"/>
      <c r="AL36" s="183"/>
      <c r="AM36" s="183"/>
      <c r="AN36" s="183"/>
      <c r="AO36" s="183"/>
      <c r="AP36" s="183"/>
      <c r="AQ36" s="183"/>
      <c r="AR36" s="183"/>
      <c r="AS36" s="183"/>
      <c r="AT36" s="173"/>
      <c r="AU36" s="50"/>
      <c r="AV36" s="50"/>
    </row>
    <row r="37" spans="1:48">
      <c r="A37" s="255"/>
      <c r="B37" s="263" t="s">
        <v>356</v>
      </c>
      <c r="C37" s="200">
        <f ca="1"/>
        <v>0</v>
      </c>
      <c r="D37" s="265">
        <f ca="1"/>
        <v>0</v>
      </c>
      <c r="E37" s="255"/>
      <c r="F37" s="263" t="s">
        <v>356</v>
      </c>
      <c r="G37" s="200">
        <f ca="1"/>
        <v>-85.293047070905303</v>
      </c>
      <c r="H37" s="265">
        <f ca="1"/>
        <v>4.32307224879931E-3</v>
      </c>
      <c r="I37" s="255"/>
      <c r="J37" s="263" t="s">
        <v>356</v>
      </c>
      <c r="K37" s="200">
        <f ca="1"/>
        <v>0</v>
      </c>
      <c r="L37" s="265">
        <f ca="1"/>
        <v>0</v>
      </c>
      <c r="M37" s="255"/>
      <c r="N37" s="255"/>
      <c r="O37" s="277"/>
      <c r="P37" s="277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73"/>
      <c r="AU37" s="173"/>
      <c r="AV37" s="50"/>
    </row>
    <row r="38" spans="1:48">
      <c r="A38" s="255"/>
      <c r="B38" s="263" t="s">
        <v>357</v>
      </c>
      <c r="C38" s="200">
        <f ca="1"/>
        <v>0</v>
      </c>
      <c r="D38" s="265">
        <f ca="1"/>
        <v>0</v>
      </c>
      <c r="E38" s="255"/>
      <c r="F38" s="263" t="s">
        <v>357</v>
      </c>
      <c r="G38" s="200">
        <f ca="1"/>
        <v>-9.4770052301005894</v>
      </c>
      <c r="H38" s="265">
        <f ca="1"/>
        <v>4.8034136097770114E-4</v>
      </c>
      <c r="I38" s="255"/>
      <c r="J38" s="263" t="s">
        <v>357</v>
      </c>
      <c r="K38" s="200">
        <f ca="1"/>
        <v>311.37506256093695</v>
      </c>
      <c r="L38" s="265">
        <f ca="1"/>
        <v>-1.939264987829932E-2</v>
      </c>
      <c r="M38" s="255"/>
      <c r="N38" s="255"/>
      <c r="O38" s="277"/>
      <c r="P38" s="277"/>
      <c r="Q38" s="255"/>
      <c r="R38" s="255"/>
      <c r="S38" s="255"/>
      <c r="T38" s="255"/>
      <c r="U38" s="255"/>
      <c r="V38" s="255"/>
      <c r="W38" s="255"/>
      <c r="X38" s="255"/>
      <c r="Y38" s="255"/>
      <c r="Z38" s="255"/>
      <c r="AA38" s="255"/>
      <c r="AB38" s="255"/>
      <c r="AC38" s="255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73"/>
      <c r="AU38" s="173"/>
      <c r="AV38" s="173"/>
    </row>
    <row r="39" spans="1:48">
      <c r="A39" s="255"/>
      <c r="B39" s="263" t="s">
        <v>358</v>
      </c>
      <c r="C39" s="200">
        <f ca="1"/>
        <v>-42.077235892362744</v>
      </c>
      <c r="D39" s="265">
        <f ca="1"/>
        <v>2.8474184288804381E-3</v>
      </c>
      <c r="E39" s="255"/>
      <c r="F39" s="263" t="s">
        <v>358</v>
      </c>
      <c r="G39" s="200">
        <f ca="1"/>
        <v>0</v>
      </c>
      <c r="H39" s="265">
        <f ca="1"/>
        <v>0</v>
      </c>
      <c r="I39" s="255"/>
      <c r="J39" s="263" t="s">
        <v>358</v>
      </c>
      <c r="K39" s="200">
        <f ca="1"/>
        <v>761.50882052730265</v>
      </c>
      <c r="L39" s="265">
        <f ca="1"/>
        <v>-4.9652389624096294E-2</v>
      </c>
      <c r="M39" s="255"/>
      <c r="N39" s="255"/>
      <c r="O39" s="255"/>
      <c r="P39" s="277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255"/>
      <c r="AC39" s="255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73"/>
      <c r="AU39" s="173"/>
      <c r="AV39" s="173"/>
    </row>
    <row r="40" spans="1:48">
      <c r="A40" s="255"/>
      <c r="B40" s="263" t="s">
        <v>359</v>
      </c>
      <c r="C40" s="200">
        <f ca="1"/>
        <v>-6.4734209065173456</v>
      </c>
      <c r="D40" s="265">
        <f ca="1"/>
        <v>4.3806437367391353E-4</v>
      </c>
      <c r="E40" s="255"/>
      <c r="F40" s="263" t="s">
        <v>359</v>
      </c>
      <c r="G40" s="200">
        <f ca="1"/>
        <v>68.042620873005589</v>
      </c>
      <c r="H40" s="265">
        <f ca="1"/>
        <v>-5.1451406468354909E-3</v>
      </c>
      <c r="I40" s="255"/>
      <c r="J40" s="263" t="s">
        <v>359</v>
      </c>
      <c r="K40" s="200">
        <f ca="1"/>
        <v>37.511994414621597</v>
      </c>
      <c r="L40" s="265">
        <f ca="1"/>
        <v>-2.543708751370105E-3</v>
      </c>
      <c r="M40" s="255"/>
      <c r="N40" s="255"/>
      <c r="O40" s="255"/>
      <c r="P40" s="277"/>
      <c r="Q40" s="255"/>
      <c r="R40" s="255"/>
      <c r="S40" s="255"/>
      <c r="T40" s="255"/>
      <c r="U40" s="255"/>
      <c r="V40" s="255"/>
      <c r="W40" s="255"/>
      <c r="X40" s="255"/>
      <c r="Y40" s="255"/>
      <c r="Z40" s="255"/>
      <c r="AA40" s="255"/>
      <c r="AB40" s="255"/>
      <c r="AC40" s="255"/>
      <c r="AD40" s="183"/>
      <c r="AE40" s="183"/>
      <c r="AF40" s="183"/>
      <c r="AG40" s="183"/>
      <c r="AH40" s="183"/>
      <c r="AI40" s="183"/>
      <c r="AJ40" s="183"/>
      <c r="AK40" s="183"/>
      <c r="AL40" s="183"/>
      <c r="AM40" s="183"/>
      <c r="AN40" s="183"/>
      <c r="AO40" s="183"/>
      <c r="AP40" s="183"/>
      <c r="AQ40" s="183"/>
      <c r="AR40" s="183"/>
      <c r="AS40" s="183"/>
      <c r="AT40" s="173"/>
      <c r="AU40" s="173"/>
      <c r="AV40" s="173"/>
    </row>
    <row r="41" spans="1:48">
      <c r="A41" s="255"/>
      <c r="B41" s="263" t="s">
        <v>360</v>
      </c>
      <c r="C41" s="200">
        <f ca="1"/>
        <v>0</v>
      </c>
      <c r="D41" s="265">
        <f ca="1"/>
        <v>0</v>
      </c>
      <c r="E41" s="255"/>
      <c r="F41" s="263" t="s">
        <v>360</v>
      </c>
      <c r="G41" s="200">
        <f ca="1"/>
        <v>7.2902808078220271</v>
      </c>
      <c r="H41" s="265">
        <f ca="1"/>
        <v>-5.5126506930380261E-4</v>
      </c>
      <c r="I41" s="255"/>
      <c r="J41" s="263" t="s">
        <v>360</v>
      </c>
      <c r="K41" s="200">
        <f ca="1"/>
        <v>0</v>
      </c>
      <c r="L41" s="265">
        <f ca="1"/>
        <v>0</v>
      </c>
      <c r="M41" s="255"/>
      <c r="N41" s="255"/>
      <c r="O41" s="255"/>
      <c r="P41" s="277"/>
      <c r="Q41" s="255"/>
      <c r="R41" s="255"/>
      <c r="S41" s="255"/>
      <c r="T41" s="255"/>
      <c r="U41" s="255"/>
      <c r="V41" s="255"/>
      <c r="W41" s="255"/>
      <c r="X41" s="255"/>
      <c r="Y41" s="255"/>
      <c r="Z41" s="255"/>
      <c r="AA41" s="255"/>
      <c r="AB41" s="255"/>
      <c r="AC41" s="255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</row>
    <row r="42" spans="1:48">
      <c r="A42" s="255"/>
      <c r="B42" s="263" t="s">
        <v>361</v>
      </c>
      <c r="C42" s="200">
        <f ca="1"/>
        <v>0</v>
      </c>
      <c r="D42" s="265">
        <f ca="1"/>
        <v>0</v>
      </c>
      <c r="E42" s="255"/>
      <c r="F42" s="263" t="s">
        <v>361</v>
      </c>
      <c r="G42" s="200">
        <f ca="1"/>
        <v>0</v>
      </c>
      <c r="H42" s="265">
        <f ca="1"/>
        <v>0</v>
      </c>
      <c r="I42" s="255"/>
      <c r="J42" s="263" t="s">
        <v>361</v>
      </c>
      <c r="K42" s="200">
        <f ca="1"/>
        <v>0</v>
      </c>
      <c r="L42" s="265">
        <f ca="1"/>
        <v>0</v>
      </c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255"/>
      <c r="AC42" s="255"/>
      <c r="AD42" s="183"/>
      <c r="AE42" s="183"/>
      <c r="AF42" s="183"/>
      <c r="AG42" s="183"/>
      <c r="AH42" s="183"/>
      <c r="AI42" s="183"/>
      <c r="AJ42" s="183"/>
      <c r="AK42" s="183"/>
      <c r="AL42" s="183"/>
      <c r="AM42" s="183"/>
      <c r="AN42" s="183"/>
      <c r="AO42" s="183"/>
      <c r="AP42" s="183"/>
      <c r="AQ42" s="183"/>
      <c r="AR42" s="183"/>
      <c r="AS42" s="183"/>
    </row>
    <row r="43" spans="1:48">
      <c r="A43" s="255"/>
      <c r="B43" s="263" t="s">
        <v>362</v>
      </c>
      <c r="C43" s="200">
        <f ca="1"/>
        <v>207.9021845831777</v>
      </c>
      <c r="D43" s="265">
        <f ca="1"/>
        <v>-2.0904137463568822E-2</v>
      </c>
      <c r="F43" s="263" t="s">
        <v>362</v>
      </c>
      <c r="G43" s="200">
        <f ca="1"/>
        <v>0</v>
      </c>
      <c r="H43" s="265">
        <f ca="1"/>
        <v>0</v>
      </c>
      <c r="J43" s="263" t="s">
        <v>362</v>
      </c>
      <c r="K43" s="200">
        <f ca="1"/>
        <v>307.86680931427748</v>
      </c>
      <c r="L43" s="265">
        <f ca="1"/>
        <v>-3.0955375073517762E-2</v>
      </c>
      <c r="M43" s="255"/>
      <c r="N43" s="255"/>
      <c r="O43" s="255"/>
      <c r="P43" s="255"/>
      <c r="Q43" s="255"/>
      <c r="R43" s="255"/>
      <c r="S43" s="255"/>
      <c r="T43" s="255"/>
      <c r="U43" s="255"/>
      <c r="V43" s="255"/>
      <c r="W43" s="255"/>
      <c r="X43" s="255"/>
      <c r="Y43" s="255"/>
      <c r="Z43" s="255"/>
      <c r="AA43" s="255"/>
      <c r="AB43" s="255"/>
      <c r="AC43" s="255"/>
      <c r="AD43" s="183"/>
      <c r="AE43" s="183"/>
      <c r="AF43" s="183"/>
      <c r="AG43" s="183"/>
      <c r="AH43" s="183"/>
      <c r="AI43" s="183"/>
      <c r="AJ43" s="183"/>
      <c r="AK43" s="183"/>
      <c r="AL43" s="183"/>
      <c r="AM43" s="183"/>
      <c r="AN43" s="183"/>
      <c r="AO43" s="183"/>
      <c r="AP43" s="183"/>
      <c r="AQ43" s="183"/>
      <c r="AR43" s="183"/>
      <c r="AS43" s="183"/>
    </row>
    <row r="44" spans="1:48">
      <c r="A44" s="255"/>
      <c r="B44" s="263" t="s">
        <v>363</v>
      </c>
      <c r="C44" s="200">
        <f ca="1"/>
        <v>4.6719592041163533</v>
      </c>
      <c r="D44" s="265">
        <f ca="1"/>
        <v>-4.6975589805772647E-4</v>
      </c>
      <c r="F44" s="263" t="s">
        <v>363</v>
      </c>
      <c r="G44" s="200">
        <f ca="1"/>
        <v>0</v>
      </c>
      <c r="H44" s="265">
        <f ca="1"/>
        <v>0</v>
      </c>
      <c r="J44" s="263" t="s">
        <v>363</v>
      </c>
      <c r="K44" s="200">
        <f ca="1"/>
        <v>6.9183552654893816</v>
      </c>
      <c r="L44" s="265">
        <f ca="1"/>
        <v>-6.9562640614646658E-4</v>
      </c>
      <c r="M44" s="255"/>
      <c r="N44" s="255"/>
      <c r="O44" s="255"/>
      <c r="P44" s="255"/>
      <c r="Q44" s="255"/>
      <c r="R44" s="255"/>
      <c r="S44" s="255"/>
      <c r="T44" s="255"/>
      <c r="U44" s="255"/>
      <c r="V44" s="255"/>
      <c r="W44" s="255"/>
      <c r="X44" s="255"/>
      <c r="Y44" s="255"/>
      <c r="Z44" s="255"/>
      <c r="AA44" s="255"/>
      <c r="AB44" s="255"/>
      <c r="AC44" s="255"/>
      <c r="AD44" s="183"/>
      <c r="AE44" s="183"/>
      <c r="AF44" s="183"/>
      <c r="AG44" s="183"/>
      <c r="AH44" s="183"/>
      <c r="AI44" s="183"/>
      <c r="AJ44" s="183"/>
      <c r="AK44" s="183"/>
      <c r="AL44" s="183"/>
      <c r="AM44" s="183"/>
      <c r="AN44" s="183"/>
      <c r="AO44" s="183"/>
      <c r="AP44" s="183"/>
      <c r="AQ44" s="183"/>
      <c r="AR44" s="183"/>
      <c r="AS44" s="183"/>
    </row>
    <row r="45" spans="1:48">
      <c r="A45" s="178"/>
      <c r="B45" s="263" t="s">
        <v>364</v>
      </c>
      <c r="C45" s="200">
        <f ca="1"/>
        <v>0</v>
      </c>
      <c r="D45" s="265">
        <f ca="1"/>
        <v>0</v>
      </c>
      <c r="F45" s="263" t="s">
        <v>364</v>
      </c>
      <c r="G45" s="200">
        <f ca="1"/>
        <v>0</v>
      </c>
      <c r="H45" s="265">
        <f ca="1"/>
        <v>0</v>
      </c>
      <c r="J45" s="263" t="s">
        <v>364</v>
      </c>
      <c r="K45" s="200">
        <f ca="1"/>
        <v>0</v>
      </c>
      <c r="L45" s="265">
        <f ca="1"/>
        <v>0</v>
      </c>
      <c r="M45" s="183"/>
      <c r="N45" s="186"/>
      <c r="O45" s="178"/>
      <c r="P45" s="178"/>
      <c r="Q45" s="58"/>
      <c r="R45" s="119"/>
      <c r="S45" s="120"/>
    </row>
    <row r="46" spans="1:48">
      <c r="A46" s="178"/>
      <c r="B46" s="263" t="s">
        <v>365</v>
      </c>
      <c r="C46" s="200">
        <f ca="1"/>
        <v>0</v>
      </c>
      <c r="D46" s="265">
        <f ca="1"/>
        <v>0</v>
      </c>
      <c r="F46" s="263" t="s">
        <v>365</v>
      </c>
      <c r="G46" s="200">
        <f ca="1"/>
        <v>0</v>
      </c>
      <c r="H46" s="265">
        <f ca="1"/>
        <v>0</v>
      </c>
      <c r="J46" s="263" t="s">
        <v>365</v>
      </c>
      <c r="K46" s="200">
        <f ca="1"/>
        <v>0</v>
      </c>
      <c r="L46" s="265">
        <f ca="1"/>
        <v>0</v>
      </c>
      <c r="M46" s="183"/>
      <c r="N46" s="186"/>
      <c r="O46" s="178"/>
      <c r="P46" s="178"/>
      <c r="Q46" s="58"/>
      <c r="S46" s="58"/>
    </row>
    <row r="47" spans="1:48">
      <c r="A47" s="178"/>
      <c r="B47" s="263" t="s">
        <v>366</v>
      </c>
      <c r="C47" s="200">
        <f ca="1"/>
        <v>-4529.9280309791629</v>
      </c>
      <c r="D47" s="265">
        <f ca="1"/>
        <v>1.268177603125501</v>
      </c>
      <c r="F47" s="263" t="s">
        <v>366</v>
      </c>
      <c r="G47" s="200">
        <f ca="1"/>
        <v>4.9182879990894435E-14</v>
      </c>
      <c r="H47" s="265">
        <f ca="1"/>
        <v>-9.3647962648435445E-18</v>
      </c>
      <c r="J47" s="263" t="s">
        <v>366</v>
      </c>
      <c r="K47" s="200">
        <f ca="1"/>
        <v>-164.77003159476666</v>
      </c>
      <c r="L47" s="265">
        <f ca="1"/>
        <v>5.1171453248644812E-2</v>
      </c>
      <c r="M47" s="183"/>
      <c r="N47" s="187"/>
      <c r="O47" s="178"/>
      <c r="P47" s="178"/>
      <c r="Q47" s="58"/>
      <c r="R47" s="58"/>
      <c r="S47" s="58"/>
    </row>
    <row r="48" spans="1:48">
      <c r="A48" s="178"/>
      <c r="B48" s="263" t="s">
        <v>367</v>
      </c>
      <c r="C48" s="200">
        <f ca="1"/>
        <v>-18302.923686401849</v>
      </c>
      <c r="D48" s="265">
        <f ca="1"/>
        <v>5.1286851089908847</v>
      </c>
      <c r="F48" s="263" t="s">
        <v>367</v>
      </c>
      <c r="G48" s="200">
        <f ca="1"/>
        <v>-8.6519333364343254E-17</v>
      </c>
      <c r="H48" s="265">
        <f ca="1"/>
        <v>1.2255507955585658E-20</v>
      </c>
      <c r="J48" s="263" t="s">
        <v>367</v>
      </c>
      <c r="K48" s="200">
        <f ca="1"/>
        <v>-1104.9892324577499</v>
      </c>
      <c r="L48" s="265">
        <f ca="1"/>
        <v>0.31327932280763349</v>
      </c>
      <c r="M48" s="183"/>
      <c r="N48" s="187"/>
      <c r="O48" s="58"/>
      <c r="P48" s="58"/>
      <c r="Q48" s="58"/>
      <c r="R48" s="58"/>
      <c r="S48" s="58"/>
    </row>
    <row r="49" spans="1:23">
      <c r="A49" s="178"/>
      <c r="B49" s="263" t="s">
        <v>368</v>
      </c>
      <c r="C49" s="200">
        <f ca="1"/>
        <v>0</v>
      </c>
      <c r="D49" s="265">
        <f ca="1"/>
        <v>0</v>
      </c>
      <c r="F49" s="263" t="s">
        <v>368</v>
      </c>
      <c r="G49" s="200">
        <f ca="1"/>
        <v>0</v>
      </c>
      <c r="H49" s="265">
        <f ca="1"/>
        <v>0</v>
      </c>
      <c r="J49" s="263" t="s">
        <v>368</v>
      </c>
      <c r="K49" s="200">
        <f ca="1"/>
        <v>9.131703910658357E-14</v>
      </c>
      <c r="L49" s="265">
        <f ca="1"/>
        <v>-2.7520203566367651E-17</v>
      </c>
      <c r="M49" s="183"/>
      <c r="N49" s="187"/>
      <c r="O49" s="185"/>
      <c r="P49" s="185"/>
      <c r="Q49" s="58"/>
      <c r="R49" s="60"/>
      <c r="S49" s="60"/>
    </row>
    <row r="50" spans="1:23">
      <c r="A50" s="178"/>
      <c r="B50" s="263" t="s">
        <v>369</v>
      </c>
      <c r="C50" s="200">
        <f ca="1"/>
        <v>-3.920475055707584E-15</v>
      </c>
      <c r="D50" s="265">
        <f ca="1"/>
        <v>-1.7381116077658243E-18</v>
      </c>
      <c r="F50" s="263" t="s">
        <v>369</v>
      </c>
      <c r="G50" s="200">
        <f ca="1"/>
        <v>0</v>
      </c>
      <c r="H50" s="265">
        <f ca="1"/>
        <v>0</v>
      </c>
      <c r="J50" s="263" t="s">
        <v>369</v>
      </c>
      <c r="K50" s="200">
        <f ca="1"/>
        <v>0</v>
      </c>
      <c r="L50" s="265">
        <f ca="1"/>
        <v>0</v>
      </c>
      <c r="M50" s="183"/>
      <c r="N50" s="187"/>
      <c r="O50" s="185"/>
      <c r="P50" s="185"/>
      <c r="Q50" s="58"/>
      <c r="R50" s="58"/>
      <c r="S50" s="58"/>
    </row>
    <row r="51" spans="1:23">
      <c r="A51" s="178"/>
      <c r="B51" s="263" t="s">
        <v>370</v>
      </c>
      <c r="C51" s="200">
        <f ca="1"/>
        <v>-5.1716443627558562E-17</v>
      </c>
      <c r="D51" s="265">
        <f ca="1"/>
        <v>-2.5013941723603557E-20</v>
      </c>
      <c r="F51" s="263" t="s">
        <v>370</v>
      </c>
      <c r="G51" s="200">
        <f ca="1"/>
        <v>0</v>
      </c>
      <c r="H51" s="265">
        <f ca="1"/>
        <v>0</v>
      </c>
      <c r="J51" s="263" t="s">
        <v>370</v>
      </c>
      <c r="K51" s="200">
        <f ca="1"/>
        <v>0</v>
      </c>
      <c r="L51" s="265">
        <f ca="1"/>
        <v>0</v>
      </c>
      <c r="M51" s="183"/>
      <c r="N51" s="186"/>
      <c r="O51" s="185"/>
      <c r="P51" s="185"/>
      <c r="Q51" s="58"/>
      <c r="R51" s="58"/>
      <c r="S51" s="58"/>
      <c r="U51" s="59"/>
      <c r="V51" s="59"/>
      <c r="W51" s="59"/>
    </row>
    <row r="52" spans="1:23">
      <c r="A52" s="178"/>
      <c r="B52" s="263" t="s">
        <v>371</v>
      </c>
      <c r="C52" s="200">
        <f ca="1"/>
        <v>0</v>
      </c>
      <c r="D52" s="265">
        <f ca="1"/>
        <v>0</v>
      </c>
      <c r="F52" s="263" t="s">
        <v>371</v>
      </c>
      <c r="G52" s="200">
        <f ca="1"/>
        <v>0</v>
      </c>
      <c r="H52" s="265">
        <f ca="1"/>
        <v>0</v>
      </c>
      <c r="J52" s="263" t="s">
        <v>371</v>
      </c>
      <c r="K52" s="200">
        <f ca="1"/>
        <v>0</v>
      </c>
      <c r="L52" s="265">
        <f ca="1"/>
        <v>0</v>
      </c>
      <c r="M52" s="183"/>
      <c r="N52" s="187"/>
      <c r="O52" s="183"/>
      <c r="P52" s="185"/>
      <c r="Q52" s="58"/>
      <c r="R52" s="58"/>
      <c r="S52" s="58"/>
    </row>
    <row r="53" spans="1:23">
      <c r="A53" s="178"/>
      <c r="B53" s="263" t="s">
        <v>372</v>
      </c>
      <c r="C53" s="200">
        <f ca="1"/>
        <v>0</v>
      </c>
      <c r="D53" s="265">
        <f ca="1"/>
        <v>0</v>
      </c>
      <c r="F53" s="263" t="s">
        <v>372</v>
      </c>
      <c r="G53" s="200">
        <f ca="1"/>
        <v>0</v>
      </c>
      <c r="H53" s="265">
        <f ca="1"/>
        <v>0</v>
      </c>
      <c r="J53" s="263" t="s">
        <v>372</v>
      </c>
      <c r="K53" s="200">
        <f ca="1"/>
        <v>0</v>
      </c>
      <c r="L53" s="265">
        <f ca="1"/>
        <v>0</v>
      </c>
      <c r="M53" s="183"/>
      <c r="N53" s="186"/>
      <c r="O53" s="58"/>
      <c r="P53" s="58"/>
      <c r="Q53" s="58"/>
      <c r="R53" s="58"/>
      <c r="S53" s="58"/>
    </row>
    <row r="54" spans="1:23">
      <c r="A54" s="178"/>
      <c r="B54" s="263" t="s">
        <v>373</v>
      </c>
      <c r="C54" s="200">
        <f ca="1"/>
        <v>0</v>
      </c>
      <c r="D54" s="265">
        <f ca="1"/>
        <v>0</v>
      </c>
      <c r="F54" s="263" t="s">
        <v>373</v>
      </c>
      <c r="G54" s="200">
        <f ca="1"/>
        <v>0</v>
      </c>
      <c r="H54" s="265">
        <f ca="1"/>
        <v>0</v>
      </c>
      <c r="J54" s="263" t="s">
        <v>373</v>
      </c>
      <c r="K54" s="200">
        <f ca="1"/>
        <v>0</v>
      </c>
      <c r="L54" s="265">
        <f ca="1"/>
        <v>0</v>
      </c>
      <c r="M54" s="183"/>
      <c r="N54" s="186"/>
      <c r="O54" s="58"/>
      <c r="P54" s="58"/>
      <c r="Q54" s="58"/>
      <c r="R54" s="58"/>
      <c r="S54" s="58"/>
    </row>
    <row r="55" spans="1:23">
      <c r="A55" s="178"/>
      <c r="B55" s="263" t="s">
        <v>374</v>
      </c>
      <c r="C55" s="200">
        <f ca="1"/>
        <v>0</v>
      </c>
      <c r="D55" s="265">
        <f ca="1"/>
        <v>0</v>
      </c>
      <c r="F55" s="263" t="s">
        <v>374</v>
      </c>
      <c r="G55" s="200">
        <f ca="1"/>
        <v>0</v>
      </c>
      <c r="H55" s="265">
        <f ca="1"/>
        <v>0</v>
      </c>
      <c r="J55" s="263" t="s">
        <v>374</v>
      </c>
      <c r="K55" s="200">
        <f ca="1"/>
        <v>-15038.834420706307</v>
      </c>
      <c r="L55" s="265">
        <f ca="1"/>
        <v>16.566243898163869</v>
      </c>
      <c r="M55" s="183"/>
      <c r="N55" s="187"/>
      <c r="O55" s="58"/>
      <c r="P55" s="58"/>
      <c r="Q55" s="58"/>
      <c r="R55" s="58"/>
      <c r="S55" s="58"/>
    </row>
    <row r="56" spans="1:23">
      <c r="A56" s="178"/>
      <c r="B56" s="263" t="s">
        <v>375</v>
      </c>
      <c r="C56" s="200">
        <f ca="1"/>
        <v>0</v>
      </c>
      <c r="D56" s="265">
        <f ca="1"/>
        <v>0</v>
      </c>
      <c r="F56" s="263" t="s">
        <v>375</v>
      </c>
      <c r="G56" s="200">
        <f ca="1"/>
        <v>0</v>
      </c>
      <c r="H56" s="265">
        <f ca="1"/>
        <v>0</v>
      </c>
      <c r="J56" s="263" t="s">
        <v>375</v>
      </c>
      <c r="K56" s="200">
        <f ca="1"/>
        <v>-15490.725350780691</v>
      </c>
      <c r="L56" s="265">
        <f ca="1"/>
        <v>17.061460943479268</v>
      </c>
      <c r="M56" s="183"/>
      <c r="N56" s="57"/>
      <c r="O56" s="58"/>
      <c r="P56" s="58"/>
      <c r="Q56" s="58"/>
      <c r="R56" s="58"/>
      <c r="S56" s="58"/>
    </row>
    <row r="57" spans="1:23">
      <c r="A57" s="178"/>
      <c r="B57" s="263" t="s">
        <v>376</v>
      </c>
      <c r="C57" s="200">
        <f ca="1"/>
        <v>-57735.725294350661</v>
      </c>
      <c r="D57" s="265">
        <f ca="1"/>
        <v>86.698495983105744</v>
      </c>
      <c r="F57" s="263" t="s">
        <v>376</v>
      </c>
      <c r="G57" s="200">
        <f ca="1"/>
        <v>-19126.325366623209</v>
      </c>
      <c r="H57" s="265">
        <f ca="1"/>
        <v>32.540953568967154</v>
      </c>
      <c r="J57" s="263" t="s">
        <v>376</v>
      </c>
      <c r="K57" s="200">
        <f ca="1"/>
        <v>4.5418803620722261E-11</v>
      </c>
      <c r="L57" s="265">
        <f ca="1"/>
        <v>-6.8215309985972447E-14</v>
      </c>
      <c r="M57" s="183"/>
      <c r="N57" s="57"/>
      <c r="O57" s="58"/>
      <c r="P57" s="58"/>
      <c r="Q57" s="58"/>
      <c r="R57" s="58"/>
      <c r="S57" s="58"/>
    </row>
    <row r="58" spans="1:23">
      <c r="A58" s="178"/>
      <c r="B58" s="263" t="s">
        <v>377</v>
      </c>
      <c r="C58" s="200">
        <f ca="1"/>
        <v>-26651.226395882641</v>
      </c>
      <c r="D58" s="175">
        <f ca="1"/>
        <v>62.463057736147988</v>
      </c>
      <c r="F58" s="263" t="s">
        <v>377</v>
      </c>
      <c r="G58" s="200">
        <f ca="1"/>
        <v>-12897.109306851429</v>
      </c>
      <c r="H58" s="175">
        <f ca="1"/>
        <v>21.942753094670515</v>
      </c>
      <c r="J58" s="263" t="s">
        <v>377</v>
      </c>
      <c r="K58" s="200">
        <f ca="1"/>
        <v>1.7487988192797351E-13</v>
      </c>
      <c r="L58" s="175">
        <f ca="1"/>
        <v>-2.6265520896689059E-16</v>
      </c>
      <c r="M58" s="183"/>
      <c r="N58" s="57"/>
      <c r="O58" s="58"/>
      <c r="P58" s="58"/>
      <c r="Q58" s="58"/>
      <c r="R58" s="58"/>
      <c r="S58" s="58"/>
    </row>
    <row r="59" spans="1:23">
      <c r="A59" s="178"/>
      <c r="B59" s="263" t="s">
        <v>378</v>
      </c>
      <c r="C59" s="200">
        <f ca="1"/>
        <v>-144712.21486005053</v>
      </c>
      <c r="D59" s="175">
        <f ca="1"/>
        <v>373.83996622834394</v>
      </c>
      <c r="F59" s="263" t="s">
        <v>378</v>
      </c>
      <c r="G59" s="200">
        <f ca="1"/>
        <v>-214008.50079540597</v>
      </c>
      <c r="H59" s="175">
        <f ca="1"/>
        <v>535.43167925031435</v>
      </c>
      <c r="J59" s="263" t="s">
        <v>378</v>
      </c>
      <c r="K59" s="200">
        <f ca="1"/>
        <v>0</v>
      </c>
      <c r="L59" s="175">
        <f ca="1"/>
        <v>0</v>
      </c>
      <c r="M59" s="183"/>
      <c r="N59" s="57"/>
      <c r="O59" s="58"/>
      <c r="P59" s="58"/>
      <c r="Q59" s="58"/>
      <c r="R59" s="58"/>
      <c r="S59" s="58"/>
    </row>
    <row r="60" spans="1:23">
      <c r="A60" s="178"/>
      <c r="B60" s="263" t="s">
        <v>379</v>
      </c>
      <c r="C60" s="200">
        <f ca="1"/>
        <v>-165796.65423182008</v>
      </c>
      <c r="D60" s="265">
        <f ca="1"/>
        <v>476.07502063128027</v>
      </c>
      <c r="F60" s="263" t="s">
        <v>379</v>
      </c>
      <c r="G60" s="200">
        <f ca="1"/>
        <v>-824.01512957527052</v>
      </c>
      <c r="H60" s="265">
        <f ca="1"/>
        <v>2.0616181269264029</v>
      </c>
      <c r="J60" s="263" t="s">
        <v>379</v>
      </c>
      <c r="K60" s="200">
        <f ca="1"/>
        <v>0</v>
      </c>
      <c r="L60" s="265">
        <f ca="1"/>
        <v>0</v>
      </c>
      <c r="M60" s="183"/>
      <c r="N60" s="57"/>
      <c r="O60" s="58"/>
      <c r="P60" s="58"/>
      <c r="Q60" s="58"/>
      <c r="R60" s="58"/>
      <c r="S60" s="58"/>
    </row>
    <row r="61" spans="1:23">
      <c r="A61" s="178"/>
      <c r="B61" s="263" t="s">
        <v>380</v>
      </c>
      <c r="C61" s="200">
        <f ca="1"/>
        <v>3.1552288709423554E-12</v>
      </c>
      <c r="D61" s="265">
        <f ca="1"/>
        <v>-9.5853567922140831E-15</v>
      </c>
      <c r="F61" s="263" t="s">
        <v>380</v>
      </c>
      <c r="G61" s="200">
        <f ca="1"/>
        <v>-184632.19122132022</v>
      </c>
      <c r="H61" s="265">
        <f ca="1"/>
        <v>665.18173001653713</v>
      </c>
      <c r="J61" s="263" t="s">
        <v>380</v>
      </c>
      <c r="K61" s="200">
        <f ca="1"/>
        <v>0</v>
      </c>
      <c r="L61" s="265">
        <f ca="1"/>
        <v>0</v>
      </c>
      <c r="M61" s="59"/>
      <c r="N61" s="57"/>
      <c r="O61" s="58"/>
      <c r="P61" s="58"/>
      <c r="Q61" s="58"/>
      <c r="R61" s="58"/>
      <c r="S61" s="58"/>
    </row>
    <row r="62" spans="1:23">
      <c r="A62" s="178"/>
      <c r="B62" s="263" t="s">
        <v>381</v>
      </c>
      <c r="C62" s="200">
        <f ca="1"/>
        <v>0</v>
      </c>
      <c r="D62" s="265">
        <f ca="1"/>
        <v>0</v>
      </c>
      <c r="F62" s="263" t="s">
        <v>381</v>
      </c>
      <c r="G62" s="200">
        <f ca="1"/>
        <v>-47749.7046262035</v>
      </c>
      <c r="H62" s="265">
        <f ca="1"/>
        <v>172.0297577628975</v>
      </c>
      <c r="J62" s="263" t="s">
        <v>381</v>
      </c>
      <c r="K62" s="200">
        <f ca="1"/>
        <v>0</v>
      </c>
      <c r="L62" s="265">
        <f ca="1"/>
        <v>0</v>
      </c>
      <c r="M62" s="59"/>
      <c r="N62" s="57"/>
      <c r="O62" s="58"/>
      <c r="P62" s="58"/>
      <c r="Q62" s="58"/>
      <c r="R62" s="58"/>
      <c r="S62" s="58"/>
    </row>
    <row r="63" spans="1:23">
      <c r="A63" s="178"/>
      <c r="B63" s="263" t="s">
        <v>382</v>
      </c>
      <c r="C63" s="200">
        <f ca="1"/>
        <v>0</v>
      </c>
      <c r="D63" s="265">
        <f ca="1"/>
        <v>0</v>
      </c>
      <c r="F63" s="263" t="s">
        <v>382</v>
      </c>
      <c r="G63" s="200">
        <f ca="1"/>
        <v>0</v>
      </c>
      <c r="H63" s="265">
        <f ca="1"/>
        <v>0</v>
      </c>
      <c r="J63" s="263" t="s">
        <v>382</v>
      </c>
      <c r="K63" s="200">
        <f ca="1"/>
        <v>0</v>
      </c>
      <c r="L63" s="265">
        <f ca="1"/>
        <v>0</v>
      </c>
      <c r="M63" s="59"/>
      <c r="N63" s="58"/>
      <c r="O63" s="58"/>
      <c r="P63" s="58"/>
      <c r="Q63" s="58"/>
      <c r="R63" s="58"/>
      <c r="S63" s="58"/>
    </row>
    <row r="64" spans="1:23" ht="15.75" thickBot="1">
      <c r="A64" s="178"/>
      <c r="B64" s="264" t="s">
        <v>383</v>
      </c>
      <c r="C64" s="201">
        <f ca="1"/>
        <v>0</v>
      </c>
      <c r="D64" s="267">
        <f ca="1"/>
        <v>0</v>
      </c>
      <c r="E64" s="178"/>
      <c r="F64" s="264" t="s">
        <v>383</v>
      </c>
      <c r="G64" s="201">
        <f ca="1"/>
        <v>0</v>
      </c>
      <c r="H64" s="267">
        <f ca="1"/>
        <v>0</v>
      </c>
      <c r="I64" s="178"/>
      <c r="J64" s="264" t="s">
        <v>383</v>
      </c>
      <c r="K64" s="201">
        <f ca="1"/>
        <v>0</v>
      </c>
      <c r="L64" s="267">
        <f ca="1"/>
        <v>0</v>
      </c>
      <c r="M64" s="59"/>
      <c r="N64" s="58"/>
      <c r="O64" s="58"/>
      <c r="P64" s="58"/>
      <c r="Q64" s="58"/>
      <c r="R64" s="58"/>
      <c r="S64" s="58"/>
    </row>
    <row r="65" spans="1:19">
      <c r="A65" s="178"/>
      <c r="M65" s="59"/>
      <c r="N65" s="58"/>
      <c r="O65" s="58"/>
      <c r="P65" s="58"/>
      <c r="Q65" s="58"/>
      <c r="R65" s="58"/>
      <c r="S65" s="58"/>
    </row>
    <row r="66" spans="1:19">
      <c r="A66" s="178"/>
      <c r="M66" s="59"/>
      <c r="N66" s="58"/>
      <c r="O66" s="58"/>
      <c r="P66" s="58"/>
      <c r="Q66" s="58"/>
      <c r="R66" s="58"/>
      <c r="S66" s="58"/>
    </row>
    <row r="67" spans="1:19">
      <c r="A67" s="178"/>
      <c r="M67" s="59"/>
      <c r="N67" s="58"/>
      <c r="O67" s="58"/>
      <c r="P67" s="58"/>
      <c r="Q67" s="58"/>
      <c r="R67" s="58"/>
      <c r="S67" s="58"/>
    </row>
    <row r="68" spans="1:19">
      <c r="A68" s="178"/>
      <c r="M68" s="59"/>
      <c r="N68" s="57"/>
      <c r="O68" s="58"/>
      <c r="P68" s="58"/>
      <c r="Q68" s="58"/>
      <c r="R68" s="58"/>
      <c r="S68" s="58"/>
    </row>
    <row r="69" spans="1:19">
      <c r="A69" s="178"/>
      <c r="M69" s="59"/>
      <c r="N69" s="57"/>
      <c r="O69" s="57"/>
      <c r="P69" s="58"/>
      <c r="Q69" s="58"/>
      <c r="R69" s="58"/>
      <c r="S69" s="58"/>
    </row>
    <row r="70" spans="1:19">
      <c r="A70" s="178"/>
      <c r="M70" s="59"/>
      <c r="N70" s="57"/>
      <c r="O70" s="57"/>
      <c r="P70" s="58"/>
      <c r="Q70" s="58"/>
      <c r="R70" s="58"/>
      <c r="S70" s="58"/>
    </row>
    <row r="71" spans="1:19">
      <c r="A71" s="178"/>
      <c r="M71" s="59"/>
      <c r="N71" s="57"/>
      <c r="O71" s="57"/>
      <c r="P71" s="58"/>
      <c r="Q71" s="58"/>
      <c r="R71" s="58"/>
      <c r="S71" s="58"/>
    </row>
    <row r="72" spans="1:19">
      <c r="A72" s="178"/>
      <c r="M72" s="59"/>
      <c r="N72" s="57"/>
      <c r="O72" s="57"/>
      <c r="P72" s="58"/>
      <c r="Q72" s="58"/>
      <c r="R72" s="58"/>
      <c r="S72" s="58"/>
    </row>
    <row r="73" spans="1:19">
      <c r="A73" s="178"/>
      <c r="M73" s="59"/>
      <c r="N73" s="58"/>
      <c r="O73" s="57"/>
      <c r="P73" s="58"/>
      <c r="Q73" s="58"/>
      <c r="R73" s="58"/>
      <c r="S73" s="58"/>
    </row>
    <row r="74" spans="1:19">
      <c r="A74" s="178"/>
      <c r="M74" s="59"/>
      <c r="N74" s="58"/>
      <c r="O74" s="57"/>
      <c r="P74" s="58"/>
      <c r="Q74" s="58"/>
      <c r="R74" s="58"/>
      <c r="S74" s="58"/>
    </row>
    <row r="75" spans="1:19">
      <c r="A75" s="178"/>
      <c r="M75" s="59"/>
      <c r="N75" s="58"/>
      <c r="O75" s="57"/>
      <c r="P75" s="58"/>
      <c r="Q75" s="58"/>
      <c r="R75" s="58"/>
      <c r="S75" s="58"/>
    </row>
    <row r="76" spans="1:19">
      <c r="A76" s="178"/>
      <c r="M76" s="59"/>
      <c r="N76" s="58"/>
      <c r="O76" s="58"/>
      <c r="P76" s="58"/>
      <c r="Q76" s="58"/>
      <c r="R76" s="58"/>
      <c r="S76" s="58"/>
    </row>
    <row r="77" spans="1:19">
      <c r="A77" s="178"/>
      <c r="M77" s="59"/>
      <c r="N77" s="58"/>
      <c r="O77" s="58"/>
      <c r="P77" s="58"/>
      <c r="Q77" s="58"/>
      <c r="R77" s="58"/>
      <c r="S77" s="58"/>
    </row>
    <row r="78" spans="1:19">
      <c r="A78" s="178"/>
      <c r="M78" s="59"/>
      <c r="N78" s="58"/>
      <c r="O78" s="58"/>
      <c r="P78" s="58"/>
      <c r="Q78" s="58"/>
      <c r="R78" s="58"/>
      <c r="S78" s="58"/>
    </row>
    <row r="79" spans="1:19">
      <c r="A79" s="178"/>
      <c r="M79" s="59"/>
      <c r="N79" s="57"/>
      <c r="O79" s="58"/>
      <c r="P79" s="58"/>
      <c r="Q79" s="58"/>
      <c r="R79" s="58"/>
      <c r="S79" s="58"/>
    </row>
    <row r="80" spans="1:19">
      <c r="A80" s="178"/>
      <c r="M80" s="59"/>
      <c r="N80" s="57"/>
      <c r="O80" s="58"/>
      <c r="P80" s="58"/>
      <c r="Q80" s="58"/>
      <c r="R80" s="58"/>
      <c r="S80" s="58"/>
    </row>
    <row r="81" spans="1:19">
      <c r="A81" s="178"/>
      <c r="M81" s="59"/>
      <c r="N81" s="57"/>
      <c r="O81" s="58"/>
      <c r="P81" s="58"/>
      <c r="Q81" s="58"/>
      <c r="R81" s="58"/>
      <c r="S81" s="58"/>
    </row>
    <row r="82" spans="1:19">
      <c r="A82" s="178"/>
      <c r="M82" s="59"/>
      <c r="N82" s="57"/>
      <c r="O82" s="58"/>
      <c r="P82" s="58"/>
      <c r="Q82" s="58"/>
      <c r="R82" s="58"/>
      <c r="S82" s="58"/>
    </row>
    <row r="83" spans="1:19">
      <c r="A83" s="178"/>
      <c r="M83" s="59"/>
      <c r="N83" s="58"/>
      <c r="O83" s="58"/>
      <c r="P83" s="58"/>
      <c r="Q83" s="58"/>
      <c r="R83" s="58"/>
      <c r="S83" s="58"/>
    </row>
    <row r="84" spans="1:19">
      <c r="A84" s="178"/>
      <c r="M84" s="58"/>
      <c r="N84" s="58"/>
      <c r="O84" s="58"/>
      <c r="P84" s="58"/>
      <c r="Q84" s="58"/>
      <c r="R84" s="58"/>
    </row>
    <row r="85" spans="1:19">
      <c r="A85" s="178"/>
      <c r="M85" s="58"/>
      <c r="N85" s="58"/>
      <c r="O85" s="58"/>
      <c r="P85" s="58"/>
      <c r="Q85" s="58"/>
      <c r="R85" s="58"/>
    </row>
    <row r="86" spans="1:19">
      <c r="A86" s="178"/>
      <c r="M86" s="58"/>
      <c r="N86" s="58"/>
      <c r="O86" s="58"/>
      <c r="P86" s="58"/>
      <c r="Q86" s="58"/>
      <c r="R86" s="58"/>
    </row>
    <row r="87" spans="1:19">
      <c r="B87" s="255"/>
      <c r="C87" s="255"/>
      <c r="D87" s="255"/>
      <c r="E87" s="178"/>
      <c r="F87" s="178"/>
      <c r="G87" s="178"/>
      <c r="H87" s="178"/>
      <c r="I87" s="178"/>
      <c r="J87" s="178"/>
      <c r="L87" s="58"/>
      <c r="M87" s="58"/>
      <c r="N87" s="58"/>
      <c r="O87" s="58"/>
      <c r="P87" s="58"/>
      <c r="Q87" s="58"/>
      <c r="R87" s="58"/>
    </row>
    <row r="88" spans="1:19">
      <c r="B88" s="58"/>
      <c r="C88" s="59"/>
      <c r="D88" s="117"/>
      <c r="E88" s="178"/>
      <c r="F88" s="178"/>
      <c r="G88" s="178"/>
      <c r="H88" s="178"/>
      <c r="I88" s="178"/>
      <c r="J88" s="178"/>
      <c r="L88" s="58"/>
      <c r="M88" s="58"/>
      <c r="N88" s="58"/>
      <c r="O88" s="57"/>
      <c r="P88" s="58"/>
      <c r="Q88" s="58"/>
      <c r="R88" s="58"/>
    </row>
    <row r="89" spans="1:19">
      <c r="B89" s="58"/>
      <c r="C89" s="59"/>
      <c r="D89" s="117"/>
      <c r="E89" s="118"/>
      <c r="G89" s="58"/>
      <c r="H89" s="50"/>
      <c r="I89" s="116"/>
      <c r="J89" s="178"/>
      <c r="L89" s="58"/>
      <c r="M89" s="58"/>
      <c r="N89" s="58"/>
      <c r="O89" s="57"/>
      <c r="P89" s="58"/>
      <c r="Q89" s="58"/>
      <c r="R89" s="58"/>
    </row>
    <row r="90" spans="1:19">
      <c r="B90" s="58"/>
      <c r="C90" s="59"/>
      <c r="D90" s="117"/>
      <c r="E90" s="118"/>
      <c r="G90" s="58"/>
      <c r="H90" s="50"/>
      <c r="I90" s="50"/>
      <c r="J90" s="178"/>
      <c r="L90" s="58"/>
      <c r="M90" s="58"/>
      <c r="N90" s="58"/>
      <c r="O90" s="57"/>
      <c r="P90" s="58"/>
      <c r="Q90" s="58"/>
      <c r="R90" s="58"/>
    </row>
    <row r="91" spans="1:19">
      <c r="B91" s="58"/>
      <c r="C91" s="59"/>
      <c r="D91" s="117"/>
      <c r="E91" s="118"/>
      <c r="G91" s="58"/>
      <c r="H91" s="50"/>
      <c r="I91" s="50"/>
      <c r="J91" s="178"/>
      <c r="L91" s="58"/>
      <c r="M91" s="58"/>
      <c r="N91" s="58"/>
      <c r="O91" s="57"/>
      <c r="P91" s="58"/>
      <c r="Q91" s="58"/>
      <c r="R91" s="58"/>
    </row>
    <row r="92" spans="1:19">
      <c r="B92" s="58"/>
      <c r="C92" s="59"/>
      <c r="D92" s="117"/>
      <c r="E92" s="118"/>
      <c r="G92" s="58"/>
      <c r="H92" s="50"/>
      <c r="I92" s="50"/>
      <c r="L92" s="58"/>
      <c r="M92" s="58"/>
      <c r="N92" s="58"/>
      <c r="O92" s="57"/>
      <c r="P92" s="58"/>
      <c r="Q92" s="58"/>
      <c r="R92" s="58"/>
    </row>
    <row r="93" spans="1:19">
      <c r="B93" s="58"/>
      <c r="C93" s="59"/>
      <c r="D93" s="117"/>
      <c r="E93" s="118"/>
      <c r="G93" s="58"/>
      <c r="H93" s="50"/>
      <c r="I93" s="50"/>
      <c r="L93" s="58"/>
      <c r="M93" s="58"/>
      <c r="N93" s="58"/>
      <c r="O93" s="57"/>
      <c r="P93" s="58"/>
      <c r="Q93" s="58"/>
      <c r="R93" s="58"/>
    </row>
    <row r="94" spans="1:19">
      <c r="B94" s="58"/>
      <c r="C94" s="59"/>
      <c r="D94" s="117"/>
      <c r="E94" s="118"/>
      <c r="G94" s="58"/>
      <c r="H94" s="50"/>
      <c r="I94" s="50"/>
      <c r="L94" s="58"/>
      <c r="M94" s="58"/>
      <c r="N94" s="58"/>
      <c r="O94" s="57"/>
      <c r="P94" s="58"/>
      <c r="Q94" s="58"/>
      <c r="R94" s="58"/>
    </row>
    <row r="95" spans="1:19">
      <c r="B95" s="58"/>
      <c r="C95" s="59"/>
      <c r="D95" s="117"/>
      <c r="E95" s="118"/>
      <c r="G95" s="58"/>
      <c r="H95" s="50"/>
      <c r="I95" s="121"/>
      <c r="L95" s="58"/>
      <c r="M95" s="58"/>
      <c r="N95" s="58"/>
      <c r="O95" s="57"/>
      <c r="P95" s="58"/>
      <c r="Q95" s="58"/>
      <c r="R95" s="58"/>
    </row>
    <row r="96" spans="1:19">
      <c r="B96" s="58"/>
      <c r="C96" s="59"/>
      <c r="D96" s="117"/>
      <c r="E96" s="118"/>
      <c r="G96" s="58"/>
      <c r="H96" s="50"/>
      <c r="I96" s="121"/>
      <c r="L96" s="58"/>
      <c r="M96" s="58"/>
      <c r="N96" s="58"/>
      <c r="O96" s="57"/>
      <c r="P96" s="58"/>
      <c r="Q96" s="58"/>
      <c r="R96" s="58"/>
    </row>
    <row r="97" spans="2:18">
      <c r="B97" s="58"/>
      <c r="C97" s="59"/>
      <c r="D97" s="117"/>
      <c r="E97" s="118"/>
      <c r="G97" s="58"/>
      <c r="H97" s="50"/>
      <c r="I97" s="50"/>
      <c r="L97" s="58"/>
      <c r="M97" s="58"/>
      <c r="N97" s="58"/>
      <c r="O97" s="57"/>
      <c r="P97" s="58"/>
      <c r="Q97" s="58"/>
      <c r="R97" s="58"/>
    </row>
    <row r="98" spans="2:18">
      <c r="B98" s="58"/>
      <c r="C98" s="59"/>
      <c r="D98" s="117"/>
      <c r="E98" s="118"/>
      <c r="G98" s="58"/>
      <c r="H98" s="50"/>
      <c r="I98" s="50"/>
      <c r="L98" s="58"/>
      <c r="M98" s="58"/>
      <c r="N98" s="58"/>
      <c r="O98" s="57"/>
      <c r="P98" s="58"/>
      <c r="Q98" s="58"/>
      <c r="R98" s="58"/>
    </row>
    <row r="99" spans="2:18">
      <c r="B99" s="58"/>
      <c r="C99" s="59"/>
      <c r="D99" s="117"/>
      <c r="E99" s="118"/>
      <c r="G99" s="58"/>
      <c r="H99" s="50"/>
      <c r="I99" s="50"/>
      <c r="L99" s="58"/>
      <c r="M99" s="58"/>
      <c r="N99" s="58"/>
      <c r="O99" s="57"/>
      <c r="P99" s="58"/>
      <c r="Q99" s="58"/>
      <c r="R99" s="58"/>
    </row>
    <row r="100" spans="2:18">
      <c r="B100" s="58"/>
      <c r="C100" s="59"/>
      <c r="D100" s="117"/>
      <c r="E100" s="118"/>
      <c r="G100" s="58"/>
      <c r="H100" s="50"/>
      <c r="I100" s="50"/>
      <c r="L100" s="58"/>
      <c r="M100" s="58"/>
      <c r="N100" s="58"/>
      <c r="O100" s="57"/>
      <c r="P100" s="58"/>
      <c r="Q100" s="57"/>
      <c r="R100" s="58"/>
    </row>
    <row r="101" spans="2:18">
      <c r="B101" s="58"/>
      <c r="C101" s="59"/>
      <c r="D101" s="117"/>
      <c r="E101" s="118"/>
      <c r="G101" s="58"/>
      <c r="H101" s="50"/>
      <c r="I101" s="50"/>
      <c r="L101" s="58"/>
      <c r="M101" s="58"/>
      <c r="N101" s="58"/>
      <c r="O101" s="57"/>
      <c r="P101" s="58"/>
      <c r="Q101" s="57"/>
      <c r="R101" s="58"/>
    </row>
    <row r="102" spans="2:18">
      <c r="B102" s="58"/>
      <c r="C102" s="59"/>
      <c r="D102" s="117"/>
      <c r="E102" s="118"/>
      <c r="G102" s="58"/>
      <c r="H102" s="50"/>
      <c r="I102" s="50"/>
      <c r="L102" s="58"/>
      <c r="M102" s="58"/>
      <c r="N102" s="58"/>
      <c r="O102" s="57"/>
      <c r="P102" s="58"/>
      <c r="Q102" s="57"/>
      <c r="R102" s="58"/>
    </row>
    <row r="103" spans="2:18">
      <c r="B103" s="58"/>
      <c r="C103" s="59"/>
      <c r="D103" s="117"/>
      <c r="E103" s="118"/>
      <c r="G103" s="58"/>
      <c r="H103" s="50"/>
      <c r="I103" s="50"/>
      <c r="L103" s="58"/>
      <c r="M103" s="58"/>
      <c r="N103" s="58"/>
      <c r="O103" s="58"/>
      <c r="P103" s="58"/>
      <c r="Q103" s="58"/>
      <c r="R103" s="58"/>
    </row>
    <row r="104" spans="2:18">
      <c r="B104" s="58"/>
      <c r="C104" s="59"/>
      <c r="D104" s="117"/>
      <c r="E104" s="118"/>
      <c r="G104" s="58"/>
      <c r="H104" s="50"/>
      <c r="I104" s="50"/>
      <c r="L104" s="58"/>
      <c r="M104" s="58"/>
      <c r="N104" s="58"/>
      <c r="O104" s="58"/>
      <c r="P104" s="58"/>
      <c r="Q104" s="58"/>
      <c r="R104" s="58"/>
    </row>
    <row r="105" spans="2:18">
      <c r="B105" s="58"/>
      <c r="C105" s="59"/>
      <c r="D105" s="117"/>
      <c r="E105" s="118"/>
      <c r="G105" s="58"/>
      <c r="H105" s="50"/>
      <c r="I105" s="50"/>
      <c r="L105" s="58"/>
      <c r="M105" s="58"/>
      <c r="N105" s="58"/>
      <c r="O105" s="58"/>
      <c r="P105" s="58"/>
      <c r="Q105" s="58"/>
      <c r="R105" s="58"/>
    </row>
    <row r="106" spans="2:18">
      <c r="B106" s="58"/>
      <c r="C106" s="59"/>
      <c r="D106" s="117"/>
      <c r="E106" s="118"/>
      <c r="G106" s="58"/>
      <c r="H106" s="50"/>
      <c r="I106" s="50"/>
      <c r="L106" s="58"/>
      <c r="M106" s="58"/>
      <c r="N106" s="58"/>
      <c r="O106" s="58"/>
      <c r="P106" s="58"/>
      <c r="Q106" s="58"/>
      <c r="R106" s="58"/>
    </row>
    <row r="107" spans="2:18">
      <c r="B107" s="58"/>
      <c r="C107" s="59"/>
      <c r="D107" s="117"/>
      <c r="E107" s="118"/>
      <c r="G107" s="58"/>
      <c r="H107" s="50"/>
      <c r="I107" s="50"/>
      <c r="L107" s="58"/>
      <c r="M107" s="58"/>
      <c r="N107" s="58"/>
      <c r="O107" s="58"/>
      <c r="P107" s="58"/>
      <c r="Q107" s="58"/>
      <c r="R107" s="58"/>
    </row>
    <row r="108" spans="2:18">
      <c r="B108" s="58"/>
      <c r="C108" s="59"/>
      <c r="D108" s="117"/>
      <c r="E108" s="118"/>
      <c r="G108" s="58"/>
      <c r="H108" s="50"/>
      <c r="I108" s="50"/>
      <c r="L108" s="58"/>
      <c r="M108" s="58"/>
      <c r="N108" s="58"/>
      <c r="O108" s="58"/>
      <c r="P108" s="58"/>
      <c r="Q108" s="58"/>
      <c r="R108" s="58"/>
    </row>
    <row r="109" spans="2:18">
      <c r="B109" s="58"/>
      <c r="C109" s="59"/>
      <c r="D109" s="117"/>
      <c r="E109" s="118"/>
      <c r="G109" s="58"/>
      <c r="H109" s="50"/>
      <c r="I109" s="50"/>
      <c r="L109" s="58"/>
      <c r="M109" s="58"/>
      <c r="N109" s="58"/>
      <c r="O109" s="58"/>
      <c r="P109" s="58"/>
      <c r="Q109" s="58"/>
      <c r="R109" s="58"/>
    </row>
    <row r="110" spans="2:18">
      <c r="B110" s="58"/>
      <c r="C110" s="59"/>
      <c r="D110" s="117"/>
      <c r="E110" s="118"/>
      <c r="G110" s="58"/>
      <c r="H110" s="50"/>
      <c r="I110" s="50"/>
      <c r="L110" s="58"/>
      <c r="M110" s="58"/>
      <c r="N110" s="58"/>
      <c r="O110" s="58"/>
      <c r="P110" s="58"/>
      <c r="Q110" s="58"/>
      <c r="R110" s="58"/>
    </row>
    <row r="111" spans="2:18">
      <c r="B111" s="58"/>
      <c r="C111" s="59"/>
      <c r="D111" s="117"/>
      <c r="E111" s="118"/>
      <c r="G111" s="58"/>
      <c r="H111" s="50"/>
      <c r="I111" s="50"/>
      <c r="L111" s="58"/>
      <c r="M111" s="58"/>
      <c r="N111" s="58"/>
      <c r="O111" s="58"/>
      <c r="P111" s="58"/>
      <c r="Q111" s="58"/>
      <c r="R111" s="58"/>
    </row>
    <row r="112" spans="2:18">
      <c r="B112" s="58"/>
      <c r="C112" s="59"/>
      <c r="D112" s="117"/>
      <c r="E112" s="118"/>
      <c r="G112" s="58"/>
      <c r="H112" s="50"/>
      <c r="I112" s="50"/>
      <c r="L112" s="58"/>
      <c r="M112" s="58"/>
      <c r="N112" s="58"/>
      <c r="O112" s="58"/>
      <c r="P112" s="58"/>
      <c r="Q112" s="58"/>
      <c r="R112" s="58"/>
    </row>
    <row r="113" spans="2:18">
      <c r="B113" s="58"/>
      <c r="C113" s="59"/>
      <c r="D113" s="117"/>
      <c r="E113" s="118"/>
      <c r="G113" s="58"/>
      <c r="H113" s="50"/>
      <c r="I113" s="50"/>
      <c r="L113" s="58"/>
      <c r="M113" s="58"/>
      <c r="N113" s="58"/>
      <c r="O113" s="58"/>
      <c r="P113" s="58"/>
      <c r="Q113" s="58"/>
      <c r="R113" s="58"/>
    </row>
    <row r="114" spans="2:18">
      <c r="B114" s="58"/>
      <c r="C114" s="59"/>
      <c r="D114" s="117"/>
      <c r="E114" s="118"/>
      <c r="G114" s="58"/>
      <c r="H114" s="50"/>
      <c r="I114" s="50"/>
      <c r="L114" s="58"/>
      <c r="M114" s="58"/>
      <c r="N114" s="58"/>
      <c r="O114" s="57"/>
      <c r="P114" s="58"/>
      <c r="Q114" s="57"/>
      <c r="R114" s="58"/>
    </row>
    <row r="115" spans="2:18">
      <c r="B115" s="58"/>
      <c r="C115" s="59"/>
      <c r="D115" s="117"/>
      <c r="E115" s="118"/>
      <c r="G115" s="58"/>
      <c r="H115" s="50"/>
      <c r="I115" s="50"/>
      <c r="L115" s="58"/>
      <c r="M115" s="58"/>
      <c r="N115" s="58"/>
      <c r="O115" s="58"/>
      <c r="P115" s="58"/>
      <c r="Q115" s="58"/>
      <c r="R115" s="58"/>
    </row>
    <row r="116" spans="2:18">
      <c r="B116" s="58"/>
      <c r="C116" s="59"/>
      <c r="D116" s="117"/>
      <c r="E116" s="118"/>
      <c r="G116" s="58"/>
      <c r="H116" s="50"/>
      <c r="I116" s="50"/>
      <c r="L116" s="58"/>
      <c r="M116" s="58"/>
      <c r="N116" s="58"/>
      <c r="O116" s="58"/>
      <c r="P116" s="58"/>
      <c r="Q116" s="58"/>
      <c r="R116" s="58"/>
    </row>
    <row r="117" spans="2:18">
      <c r="B117" s="58"/>
      <c r="C117" s="59"/>
      <c r="D117" s="117"/>
      <c r="E117" s="118"/>
      <c r="G117" s="58"/>
      <c r="H117" s="50"/>
      <c r="I117" s="50"/>
    </row>
    <row r="118" spans="2:18">
      <c r="B118" s="58"/>
      <c r="C118" s="59"/>
      <c r="D118" s="117"/>
      <c r="E118" s="118"/>
      <c r="G118" s="58"/>
      <c r="H118" s="50"/>
      <c r="I118" s="121"/>
    </row>
    <row r="119" spans="2:18">
      <c r="B119" s="58"/>
      <c r="C119" s="59"/>
      <c r="D119" s="117"/>
      <c r="E119" s="118"/>
      <c r="G119" s="58"/>
      <c r="H119" s="50"/>
      <c r="I119" s="121"/>
    </row>
    <row r="120" spans="2:18">
      <c r="B120" s="58"/>
      <c r="C120" s="59"/>
      <c r="D120" s="117"/>
      <c r="E120" s="118"/>
      <c r="G120" s="58"/>
      <c r="H120" s="50"/>
      <c r="I120" s="121"/>
    </row>
    <row r="121" spans="2:18">
      <c r="B121" s="58"/>
      <c r="C121" s="59"/>
      <c r="D121" s="117"/>
      <c r="E121" s="118"/>
      <c r="G121" s="58"/>
      <c r="H121" s="50"/>
      <c r="I121" s="50"/>
    </row>
    <row r="122" spans="2:18">
      <c r="B122" s="58"/>
      <c r="C122" s="59"/>
      <c r="D122" s="117"/>
      <c r="E122" s="118"/>
      <c r="G122" s="58"/>
      <c r="H122" s="50"/>
      <c r="I122" s="50"/>
    </row>
    <row r="123" spans="2:18">
      <c r="B123" s="58"/>
      <c r="C123" s="59"/>
      <c r="D123" s="117"/>
      <c r="E123" s="118"/>
      <c r="G123" s="58"/>
      <c r="H123" s="50"/>
      <c r="I123" s="50"/>
    </row>
    <row r="124" spans="2:18">
      <c r="B124" s="58"/>
      <c r="C124" s="59"/>
      <c r="D124" s="117"/>
      <c r="E124" s="118"/>
      <c r="G124" s="58"/>
      <c r="H124" s="50"/>
      <c r="I124" s="50"/>
    </row>
    <row r="125" spans="2:18">
      <c r="B125" s="58"/>
      <c r="C125" s="59"/>
      <c r="D125" s="117"/>
      <c r="E125" s="118"/>
      <c r="G125" s="58"/>
      <c r="H125" s="50"/>
      <c r="I125" s="50"/>
    </row>
    <row r="126" spans="2:18">
      <c r="B126" s="58"/>
      <c r="C126" s="59"/>
      <c r="D126" s="117"/>
      <c r="E126" s="118"/>
      <c r="G126" s="58"/>
      <c r="H126" s="50"/>
      <c r="I126" s="50"/>
    </row>
    <row r="127" spans="2:18">
      <c r="B127" s="58"/>
      <c r="C127" s="59"/>
      <c r="D127" s="117"/>
      <c r="E127" s="118"/>
      <c r="G127" s="58"/>
      <c r="H127" s="50"/>
      <c r="I127" s="121"/>
    </row>
    <row r="128" spans="2:18">
      <c r="B128" s="58"/>
      <c r="C128" s="59"/>
      <c r="D128" s="117"/>
      <c r="E128" s="118"/>
      <c r="G128" s="58"/>
      <c r="H128" s="50"/>
      <c r="I128" s="50"/>
    </row>
    <row r="129" spans="1:11">
      <c r="B129" s="58"/>
      <c r="C129" s="59"/>
      <c r="D129" s="117"/>
      <c r="E129" s="118"/>
      <c r="G129" s="58"/>
      <c r="H129" s="50"/>
      <c r="I129" s="50"/>
    </row>
    <row r="138" spans="1:11">
      <c r="A138" s="58"/>
    </row>
    <row r="139" spans="1:11">
      <c r="G139" s="58"/>
      <c r="J139" s="58"/>
    </row>
    <row r="140" spans="1:11">
      <c r="A140" s="58"/>
      <c r="B140" s="58"/>
      <c r="C140" s="58"/>
      <c r="E140" s="58"/>
      <c r="G140" s="58"/>
    </row>
    <row r="141" spans="1:11">
      <c r="A141" s="58"/>
      <c r="B141" s="58"/>
      <c r="C141" s="58"/>
      <c r="D141" s="59"/>
      <c r="E141" s="59"/>
    </row>
    <row r="142" spans="1:11">
      <c r="A142" s="59"/>
      <c r="B142" s="57"/>
      <c r="C142" s="58"/>
      <c r="E142" s="58"/>
      <c r="J142" s="57"/>
      <c r="K142" s="57"/>
    </row>
    <row r="143" spans="1:11">
      <c r="A143" s="59"/>
      <c r="B143" s="57"/>
      <c r="C143" s="58"/>
      <c r="E143" s="58"/>
      <c r="J143" s="57"/>
      <c r="K143" s="57"/>
    </row>
    <row r="146" spans="1:11">
      <c r="A146" s="58"/>
      <c r="B146" s="58"/>
      <c r="C146" s="58"/>
      <c r="E146" s="58"/>
    </row>
    <row r="147" spans="1:11">
      <c r="A147" s="58"/>
      <c r="B147" s="58"/>
      <c r="C147" s="58"/>
      <c r="E147" s="58"/>
    </row>
    <row r="148" spans="1:11">
      <c r="A148" s="58"/>
      <c r="B148" s="58"/>
      <c r="C148" s="58"/>
      <c r="E148" s="58"/>
    </row>
    <row r="149" spans="1:11">
      <c r="A149" s="58"/>
      <c r="B149" s="58"/>
      <c r="C149" s="58"/>
      <c r="D149" s="59"/>
      <c r="E149" s="59"/>
    </row>
    <row r="150" spans="1:11">
      <c r="A150" s="59"/>
      <c r="B150" s="57"/>
      <c r="C150" s="58"/>
      <c r="E150" s="58"/>
      <c r="J150" s="57"/>
      <c r="K150" s="57"/>
    </row>
    <row r="151" spans="1:11">
      <c r="A151" s="59"/>
      <c r="B151" s="57"/>
      <c r="C151" s="58"/>
      <c r="E151" s="58"/>
      <c r="J151" s="57"/>
      <c r="K151" s="57"/>
    </row>
  </sheetData>
  <mergeCells count="30">
    <mergeCell ref="U2:AB2"/>
    <mergeCell ref="W3:X3"/>
    <mergeCell ref="Y3:Z3"/>
    <mergeCell ref="AA3:AB3"/>
    <mergeCell ref="U5:V5"/>
    <mergeCell ref="W5:X5"/>
    <mergeCell ref="Y5:Z5"/>
    <mergeCell ref="AA5:AB5"/>
    <mergeCell ref="R3:S3"/>
    <mergeCell ref="U3:V3"/>
    <mergeCell ref="I3:J3"/>
    <mergeCell ref="G3:H3"/>
    <mergeCell ref="L3:M3"/>
    <mergeCell ref="N3:O3"/>
    <mergeCell ref="K27:L27"/>
    <mergeCell ref="C3:D3"/>
    <mergeCell ref="C5:D5"/>
    <mergeCell ref="C2:J2"/>
    <mergeCell ref="C27:D27"/>
    <mergeCell ref="G27:H27"/>
    <mergeCell ref="I5:J5"/>
    <mergeCell ref="G5:H5"/>
    <mergeCell ref="E5:F5"/>
    <mergeCell ref="E3:F3"/>
    <mergeCell ref="L2:S2"/>
    <mergeCell ref="R5:S5"/>
    <mergeCell ref="P5:Q5"/>
    <mergeCell ref="N5:O5"/>
    <mergeCell ref="L5:M5"/>
    <mergeCell ref="P3:Q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X167"/>
  <sheetViews>
    <sheetView zoomScale="85" zoomScaleNormal="85" workbookViewId="0">
      <selection activeCell="F38" sqref="F38"/>
    </sheetView>
  </sheetViews>
  <sheetFormatPr defaultRowHeight="15"/>
  <cols>
    <col min="1" max="1" width="2.42578125" customWidth="1"/>
    <col min="2" max="2" width="18.28515625" bestFit="1" customWidth="1"/>
    <col min="3" max="3" width="10" bestFit="1" customWidth="1"/>
    <col min="4" max="4" width="12.42578125" bestFit="1" customWidth="1"/>
    <col min="5" max="5" width="14.28515625" bestFit="1" customWidth="1"/>
    <col min="6" max="6" width="12.7109375" bestFit="1" customWidth="1"/>
    <col min="7" max="7" width="17" bestFit="1" customWidth="1"/>
    <col min="8" max="8" width="18.85546875" bestFit="1" customWidth="1"/>
    <col min="9" max="9" width="17.42578125" bestFit="1" customWidth="1"/>
    <col min="10" max="10" width="14.7109375" bestFit="1" customWidth="1"/>
    <col min="11" max="11" width="14.28515625" bestFit="1" customWidth="1"/>
    <col min="12" max="12" width="13.28515625" bestFit="1" customWidth="1"/>
    <col min="13" max="13" width="14.7109375" style="139" bestFit="1" customWidth="1"/>
    <col min="14" max="14" width="16.42578125" bestFit="1" customWidth="1"/>
    <col min="15" max="15" width="11.5703125" bestFit="1" customWidth="1"/>
    <col min="16" max="16" width="19.28515625" bestFit="1" customWidth="1"/>
    <col min="17" max="17" width="21" bestFit="1" customWidth="1"/>
    <col min="18" max="18" width="11.5703125" bestFit="1" customWidth="1"/>
    <col min="19" max="19" width="15.42578125" bestFit="1" customWidth="1"/>
    <col min="20" max="20" width="13.28515625" bestFit="1" customWidth="1"/>
    <col min="21" max="21" width="17.85546875" bestFit="1" customWidth="1"/>
    <col min="22" max="22" width="13.28515625" bestFit="1" customWidth="1"/>
    <col min="23" max="23" width="15.42578125" bestFit="1" customWidth="1"/>
    <col min="24" max="24" width="20" bestFit="1" customWidth="1"/>
  </cols>
  <sheetData>
    <row r="1" spans="2:24" ht="15.75" thickBot="1">
      <c r="B1" s="206"/>
      <c r="E1" s="112" t="s">
        <v>123</v>
      </c>
      <c r="F1" s="113">
        <v>1E-4</v>
      </c>
    </row>
    <row r="2" spans="2:24" ht="15.75" thickBot="1">
      <c r="H2" s="178"/>
    </row>
    <row r="3" spans="2:24">
      <c r="C3" s="302" t="s">
        <v>318</v>
      </c>
      <c r="D3" s="303"/>
      <c r="E3" s="303"/>
      <c r="F3" s="303" t="s">
        <v>317</v>
      </c>
      <c r="G3" s="303"/>
      <c r="H3" s="303"/>
      <c r="I3" s="303" t="s">
        <v>316</v>
      </c>
      <c r="J3" s="303"/>
      <c r="K3" s="303"/>
      <c r="L3" s="303" t="s">
        <v>327</v>
      </c>
      <c r="M3" s="303"/>
      <c r="N3" s="303"/>
      <c r="O3" s="303" t="s">
        <v>328</v>
      </c>
      <c r="P3" s="303"/>
      <c r="Q3" s="304"/>
    </row>
    <row r="4" spans="2:24" ht="15.75" thickBot="1">
      <c r="C4" s="217" t="s">
        <v>329</v>
      </c>
      <c r="D4" s="218" t="s">
        <v>330</v>
      </c>
      <c r="E4" s="213" t="s">
        <v>331</v>
      </c>
      <c r="F4" s="212" t="s">
        <v>329</v>
      </c>
      <c r="G4" s="218" t="s">
        <v>330</v>
      </c>
      <c r="H4" s="213" t="s">
        <v>331</v>
      </c>
      <c r="I4" s="212" t="s">
        <v>329</v>
      </c>
      <c r="J4" s="218" t="s">
        <v>330</v>
      </c>
      <c r="K4" s="213" t="s">
        <v>331</v>
      </c>
      <c r="L4" s="212" t="s">
        <v>329</v>
      </c>
      <c r="M4" s="218" t="s">
        <v>330</v>
      </c>
      <c r="N4" s="213" t="s">
        <v>331</v>
      </c>
      <c r="O4" s="212" t="s">
        <v>329</v>
      </c>
      <c r="P4" s="218" t="s">
        <v>330</v>
      </c>
      <c r="Q4" s="219" t="s">
        <v>331</v>
      </c>
    </row>
    <row r="5" spans="2:24">
      <c r="B5" s="214" t="str">
        <f>B12</f>
        <v>GB RPI AI 2M - IM</v>
      </c>
      <c r="C5" s="220">
        <f ca="1">MIN(F12:F28)</f>
        <v>-6.9267116487026215E-9</v>
      </c>
      <c r="D5" s="221">
        <f ca="1">MAX(F12:F28)</f>
        <v>9.7497832030057907E-9</v>
      </c>
      <c r="E5" s="222" t="str">
        <f ca="1">IF(AND(ABS(C5)&lt;$F$1,ABS(D5)&lt;$F$1),"Pass","Fail")</f>
        <v>Pass</v>
      </c>
      <c r="F5" s="220">
        <f ca="1">MIN(I12:I28)</f>
        <v>-5.6554563343524933E-7</v>
      </c>
      <c r="G5" s="221">
        <f ca="1">MAX(I12:I28)</f>
        <v>0</v>
      </c>
      <c r="H5" s="222" t="str">
        <f ca="1">IF(AND(ABS(F5)&lt;$F$1,ABS(G5)&lt;$F$1),"Pass","Fail")</f>
        <v>Pass</v>
      </c>
      <c r="I5" s="220">
        <f ca="1">MIN(L12:L28)</f>
        <v>-892875.86315599596</v>
      </c>
      <c r="J5" s="221">
        <f ca="1">MAX(L12:L28)</f>
        <v>12528.67402815583</v>
      </c>
      <c r="K5" s="222" t="str">
        <f ca="1">IF(AND(ABS(I5)&lt;$F$1,ABS(J5)&lt;$F$1),"Pass","Fail")</f>
        <v>Fail</v>
      </c>
      <c r="L5" s="220">
        <f ca="1">MIN(O12:O28)</f>
        <v>-0.34676738324128564</v>
      </c>
      <c r="M5" s="221">
        <f ca="1">MAX(O12:O28)</f>
        <v>0.2213542304702969</v>
      </c>
      <c r="N5" s="222" t="str">
        <f ca="1">IF(AND(ABS(L5)&lt;$F$1,ABS(M5)&lt;$F$1),"Pass","Fail")</f>
        <v>Fail</v>
      </c>
      <c r="O5" s="220">
        <f ca="1">MIN(R12:R28)</f>
        <v>-85.971315780524151</v>
      </c>
      <c r="P5" s="221">
        <f ca="1">MAX(R12:R28)</f>
        <v>91.255909362380862</v>
      </c>
      <c r="Q5" s="222" t="str">
        <f ca="1">IF(AND(ABS(O5)&lt;$F$1,ABS(P5)&lt;$F$1),"Pass","Fail")</f>
        <v>Fail</v>
      </c>
    </row>
    <row r="6" spans="2:24">
      <c r="B6" s="215" t="str">
        <f>B31</f>
        <v>HICP CPI XT NR - IM</v>
      </c>
      <c r="C6" s="209">
        <f ca="1">MIN(F31:F45)</f>
        <v>-2.9103830456733704E-10</v>
      </c>
      <c r="D6" s="207">
        <f ca="1">MAX(F31:F45)</f>
        <v>1.7462298274040222E-10</v>
      </c>
      <c r="E6" s="98" t="str">
        <f t="shared" ref="E6:E8" ca="1" si="0">IF(AND(ABS(C6)&lt;$F$1,ABS(D6)&lt;$F$1),"Pass","Fail")</f>
        <v>Pass</v>
      </c>
      <c r="F6" s="209">
        <f ca="1">MIN(I31:I45)</f>
        <v>-3.092281986027956E-11</v>
      </c>
      <c r="G6" s="207">
        <f ca="1">MAX(I31:I45)</f>
        <v>4.9476511776447296E-10</v>
      </c>
      <c r="H6" s="98" t="str">
        <f t="shared" ref="H6:H8" ca="1" si="1">IF(AND(ABS(F6)&lt;$F$1,ABS(G6)&lt;$F$1),"Pass","Fail")</f>
        <v>Pass</v>
      </c>
      <c r="I6" s="209">
        <f ca="1">MIN(L31:L45)</f>
        <v>-1564134.1657293013</v>
      </c>
      <c r="J6" s="207">
        <f ca="1">MAX(L31:L45)</f>
        <v>26411.448076480068</v>
      </c>
      <c r="K6" s="98" t="str">
        <f t="shared" ref="K6:K8" ca="1" si="2">IF(AND(ABS(I6)&lt;$F$1,ABS(J6)&lt;$F$1),"Pass","Fail")</f>
        <v>Fail</v>
      </c>
      <c r="L6" s="209">
        <f ca="1">MIN(O31:O45)</f>
        <v>-8.5998746018276506E-2</v>
      </c>
      <c r="M6" s="207">
        <f ca="1">MAX(O31:O45)</f>
        <v>5.5751223293782459E-2</v>
      </c>
      <c r="N6" s="98" t="str">
        <f t="shared" ref="N6:N8" ca="1" si="3">IF(AND(ABS(L6)&lt;$F$1,ABS(M6)&lt;$F$1),"Pass","Fail")</f>
        <v>Fail</v>
      </c>
      <c r="O6" s="209">
        <f ca="1">MIN(R31:R45)</f>
        <v>-40.166801984662584</v>
      </c>
      <c r="P6" s="207">
        <f ca="1">MAX(R31:R45)</f>
        <v>52.181289589035487</v>
      </c>
      <c r="Q6" s="98" t="str">
        <f t="shared" ref="Q6:Q8" ca="1" si="4">IF(AND(ABS(O6)&lt;$F$1,ABS(P6)&lt;$F$1),"Pass","Fail")</f>
        <v>Fail</v>
      </c>
    </row>
    <row r="7" spans="2:24">
      <c r="B7" s="215" t="str">
        <f>B48</f>
        <v>FR CPI XT NR - IM</v>
      </c>
      <c r="C7" s="209">
        <f ca="1">MIN(F48:F62)</f>
        <v>-292323.99312590837</v>
      </c>
      <c r="D7" s="207">
        <f ca="1">MAX(I48:I62)</f>
        <v>2.544678864069283E-6</v>
      </c>
      <c r="E7" s="98" t="str">
        <f t="shared" ca="1" si="0"/>
        <v>Fail</v>
      </c>
      <c r="F7" s="209">
        <f ca="1">MIN(I48:I62)</f>
        <v>-291081.12432329898</v>
      </c>
      <c r="G7" s="207">
        <f ca="1">MAX(I48:I62)</f>
        <v>2.544678864069283E-6</v>
      </c>
      <c r="H7" s="98" t="str">
        <f t="shared" ca="1" si="1"/>
        <v>Fail</v>
      </c>
      <c r="I7" s="209">
        <f ca="1">MIN(L48:L62)</f>
        <v>-6489095.2917055879</v>
      </c>
      <c r="J7" s="207">
        <f ca="1">MAX(L48:L62)</f>
        <v>21936.967690461286</v>
      </c>
      <c r="K7" s="98" t="str">
        <f t="shared" ca="1" si="2"/>
        <v>Fail</v>
      </c>
      <c r="L7" s="209">
        <f ca="1">MIN(O48:O62)</f>
        <v>-829.41087342026697</v>
      </c>
      <c r="M7" s="207">
        <f ca="1">MAX(O48:O62)</f>
        <v>0.77728395131734374</v>
      </c>
      <c r="N7" s="98" t="str">
        <f t="shared" ca="1" si="3"/>
        <v>Fail</v>
      </c>
      <c r="O7" s="209">
        <f ca="1">MIN(R48:R62)</f>
        <v>-805.20534492153706</v>
      </c>
      <c r="P7" s="207">
        <f ca="1">MAX(R48:R62)</f>
        <v>23.535341383106953</v>
      </c>
      <c r="Q7" s="98" t="str">
        <f t="shared" ca="1" si="4"/>
        <v>Fail</v>
      </c>
    </row>
    <row r="8" spans="2:24" ht="15.75" thickBot="1">
      <c r="B8" s="216" t="str">
        <f>B65</f>
        <v>US CPI AI NSA - IM</v>
      </c>
      <c r="C8" s="210">
        <f ca="1">MIN(F65:F79)</f>
        <v>-153150.59573117923</v>
      </c>
      <c r="D8" s="211">
        <f ca="1">MAX(I65:I79)</f>
        <v>0</v>
      </c>
      <c r="E8" s="223" t="str">
        <f t="shared" ca="1" si="0"/>
        <v>Fail</v>
      </c>
      <c r="F8" s="210">
        <f ca="1">MIN(I65:I79)</f>
        <v>-150728.80265506476</v>
      </c>
      <c r="G8" s="211">
        <f ca="1">MAX(I65:I79)</f>
        <v>0</v>
      </c>
      <c r="H8" s="223" t="str">
        <f t="shared" ca="1" si="1"/>
        <v>Fail</v>
      </c>
      <c r="I8" s="210">
        <f ca="1">MIN(L65:L79)</f>
        <v>-8594358.4235059507</v>
      </c>
      <c r="J8" s="211">
        <f ca="1">MAX(L65:L79)</f>
        <v>0</v>
      </c>
      <c r="K8" s="223" t="str">
        <f t="shared" ca="1" si="2"/>
        <v>Fail</v>
      </c>
      <c r="L8" s="210">
        <f ca="1">MIN(O65:O79)</f>
        <v>-117.08412349435216</v>
      </c>
      <c r="M8" s="211">
        <f ca="1">MAX(O65:O79)</f>
        <v>1.5739443666644188</v>
      </c>
      <c r="N8" s="223" t="str">
        <f t="shared" ca="1" si="3"/>
        <v>Fail</v>
      </c>
      <c r="O8" s="210">
        <f ca="1">MIN(R65:R79)</f>
        <v>-112.01381494063847</v>
      </c>
      <c r="P8" s="211">
        <f ca="1">MAX(R65:R79)</f>
        <v>1.4682913541733456</v>
      </c>
      <c r="Q8" s="223" t="str">
        <f t="shared" ca="1" si="4"/>
        <v>Fail</v>
      </c>
    </row>
    <row r="10" spans="2:24" ht="15.75" thickBot="1"/>
    <row r="11" spans="2:24" ht="15.75" thickBot="1">
      <c r="B11" s="163" t="s">
        <v>255</v>
      </c>
      <c r="C11" s="165" t="s">
        <v>0</v>
      </c>
      <c r="D11" s="204" t="s">
        <v>307</v>
      </c>
      <c r="E11" s="164" t="s">
        <v>306</v>
      </c>
      <c r="F11" s="205" t="s">
        <v>305</v>
      </c>
      <c r="G11" s="204" t="s">
        <v>308</v>
      </c>
      <c r="H11" s="164" t="s">
        <v>309</v>
      </c>
      <c r="I11" s="205" t="s">
        <v>310</v>
      </c>
      <c r="J11" s="204" t="s">
        <v>311</v>
      </c>
      <c r="K11" s="164" t="s">
        <v>312</v>
      </c>
      <c r="L11" s="205" t="s">
        <v>313</v>
      </c>
      <c r="M11" s="204" t="s">
        <v>321</v>
      </c>
      <c r="N11" s="164" t="s">
        <v>322</v>
      </c>
      <c r="O11" s="205" t="s">
        <v>264</v>
      </c>
      <c r="P11" s="164" t="s">
        <v>323</v>
      </c>
      <c r="Q11" s="164" t="s">
        <v>324</v>
      </c>
      <c r="R11" s="165" t="s">
        <v>264</v>
      </c>
      <c r="T11" s="152" t="s">
        <v>303</v>
      </c>
      <c r="U11" s="152" t="s">
        <v>314</v>
      </c>
      <c r="V11" s="152" t="s">
        <v>315</v>
      </c>
      <c r="W11" s="152" t="s">
        <v>304</v>
      </c>
      <c r="X11" s="152" t="s">
        <v>320</v>
      </c>
    </row>
    <row r="12" spans="2:24">
      <c r="B12" s="285" t="s">
        <v>343</v>
      </c>
      <c r="C12" s="300" t="s">
        <v>91</v>
      </c>
      <c r="D12" s="102">
        <f ca="1">IFERROR(VLOOKUP(B12&amp;"_"&amp;C12,'MX Inflation Sensi'!$A$2:$H$500,4,FALSE),0)</f>
        <v>8058.0963797106197</v>
      </c>
      <c r="E12" s="83">
        <f ca="1">VLOOKUP(C12,Sensitivities!$A$6:$AB$44,7,FALSE)</f>
        <v>8058.0963797106124</v>
      </c>
      <c r="F12" s="87">
        <f t="shared" ref="F12:F28" ca="1" si="5">E12-D12</f>
        <v>-7.2759576141834259E-12</v>
      </c>
      <c r="G12" s="102">
        <f ca="1">IFERROR(VLOOKUP(B12&amp;"_"&amp;C12,'MX Inflation Sensi'!$A$2:$H$500,6,FALSE),0)</f>
        <v>7376.1330125908598</v>
      </c>
      <c r="H12" s="83">
        <f ca="1">VLOOKUP(C12,Sensitivities!$A$6:$AB$44,16,FALSE)</f>
        <v>7376.1330125908598</v>
      </c>
      <c r="I12" s="87">
        <f t="shared" ref="I12:I28" ca="1" si="6">H12-G12</f>
        <v>0</v>
      </c>
      <c r="J12" s="102">
        <f ca="1">IFERROR(VLOOKUP(B12&amp;"_"&amp;C12,'MX Inflation Sensi'!$A$2:$H$500,5,FALSE),0)</f>
        <v>1216884.56358666</v>
      </c>
      <c r="K12" s="83">
        <f ca="1">VLOOKUP(C12,Sensitivities!$A$6:$AB$44,25,FALSE)</f>
        <v>324008.700430664</v>
      </c>
      <c r="L12" s="87">
        <f t="shared" ref="L12:L28" ca="1" si="7">K12-J12</f>
        <v>-892875.86315599596</v>
      </c>
      <c r="M12" s="102">
        <f ca="1">IFERROR(VLOOKUP(B12&amp;"_"&amp;C12,'MX Inflation Sensi'!$A$2:$H$500,7,FALSE),0)</f>
        <v>-0.50652105156916205</v>
      </c>
      <c r="N12" s="83">
        <f ca="1">VLOOKUP(C12,Sensitivities!$A$6:$AB$44,8,FALSE)</f>
        <v>-0.50647992871199676</v>
      </c>
      <c r="O12" s="87">
        <f t="shared" ref="O12:O28" ca="1" si="8">N12-M12</f>
        <v>4.1122857165287741E-5</v>
      </c>
      <c r="P12" s="102">
        <f ca="1">IFERROR(VLOOKUP(B12&amp;"_"&amp;C12,'MX Inflation Sensi'!$A$2:$H$500,8,FALSE),0)</f>
        <v>-0.484071046748556</v>
      </c>
      <c r="Q12" s="83">
        <f ca="1">VLOOKUP(C12,Sensitivities!$A$6:$AB$44,17,FALSE)</f>
        <v>-0.52878083810719545</v>
      </c>
      <c r="R12" s="148">
        <f t="shared" ref="R12:R28" ca="1" si="9">Q12-P12</f>
        <v>-4.470979135863945E-2</v>
      </c>
      <c r="T12" s="142" t="str">
        <f t="shared" ref="T12:T28" ca="1" si="10">IF(ABS(F12)&lt;$F$1,"Pass","Fail")</f>
        <v>Pass</v>
      </c>
      <c r="U12" s="142" t="str">
        <f t="shared" ref="U12:U28" ca="1" si="11">IF(ABS(I12)&lt;$F$1,"Pass","Fail")</f>
        <v>Pass</v>
      </c>
      <c r="V12" s="142" t="str">
        <f t="shared" ref="V12:V28" ca="1" si="12">IF(ABS(L12)&lt;$F$1,"Pass","Fail")</f>
        <v>Fail</v>
      </c>
      <c r="W12" s="142" t="str">
        <f t="shared" ref="W12:W28" ca="1" si="13">IF(ABS(O12)&lt;$F$1,"Pass","Fail")</f>
        <v>Pass</v>
      </c>
      <c r="X12" s="142" t="str">
        <f t="shared" ref="X12:X28" ca="1" si="14">IF(ABS(R12)&lt;$F$1,"Pass","Fail")</f>
        <v>Fail</v>
      </c>
    </row>
    <row r="13" spans="2:24">
      <c r="B13" s="147" t="s">
        <v>343</v>
      </c>
      <c r="C13" s="300" t="s">
        <v>35</v>
      </c>
      <c r="D13" s="102">
        <f ca="1">IFERROR(VLOOKUP(B13&amp;"_"&amp;C13,'MX Inflation Sensi'!$A$2:$H$500,4,FALSE),0)</f>
        <v>0</v>
      </c>
      <c r="E13" s="83">
        <f ca="1">VLOOKUP(C13,Sensitivities!$A$6:$AB$44,7,FALSE)</f>
        <v>0</v>
      </c>
      <c r="F13" s="87">
        <f t="shared" ca="1" si="5"/>
        <v>0</v>
      </c>
      <c r="G13" s="102">
        <f ca="1">IFERROR(VLOOKUP(B13&amp;"_"&amp;C13,'MX Inflation Sensi'!$A$2:$H$500,6,FALSE),0)</f>
        <v>0</v>
      </c>
      <c r="H13" s="83">
        <f ca="1">VLOOKUP(C13,Sensitivities!$A$6:$AB$44,16,FALSE)</f>
        <v>0</v>
      </c>
      <c r="I13" s="87">
        <f t="shared" ca="1" si="6"/>
        <v>0</v>
      </c>
      <c r="J13" s="102">
        <f ca="1">IFERROR(VLOOKUP(B13&amp;"_"&amp;C13,'MX Inflation Sensi'!$A$2:$H$500,5,FALSE),0)</f>
        <v>0</v>
      </c>
      <c r="K13" s="83">
        <f ca="1">VLOOKUP(C13,Sensitivities!$A$6:$AB$44,25,FALSE)</f>
        <v>0</v>
      </c>
      <c r="L13" s="87">
        <f t="shared" ca="1" si="7"/>
        <v>0</v>
      </c>
      <c r="M13" s="102">
        <f ca="1">IFERROR(VLOOKUP(B13&amp;"_"&amp;C13,'MX Inflation Sensi'!$A$2:$H$500,7,FALSE),0)</f>
        <v>0</v>
      </c>
      <c r="N13" s="83">
        <f ca="1">VLOOKUP(C13,Sensitivities!$A$6:$AB$44,8,FALSE)</f>
        <v>0</v>
      </c>
      <c r="O13" s="87">
        <f t="shared" ca="1" si="8"/>
        <v>0</v>
      </c>
      <c r="P13" s="102">
        <f ca="1">IFERROR(VLOOKUP(B13&amp;"_"&amp;C13,'MX Inflation Sensi'!$A$2:$H$500,8,FALSE),0)</f>
        <v>0</v>
      </c>
      <c r="Q13" s="83">
        <f ca="1">VLOOKUP(C13,Sensitivities!$A$6:$AB$44,17,FALSE)</f>
        <v>0</v>
      </c>
      <c r="R13" s="148">
        <f t="shared" ca="1" si="9"/>
        <v>0</v>
      </c>
      <c r="T13" s="142" t="str">
        <f t="shared" ca="1" si="10"/>
        <v>Pass</v>
      </c>
      <c r="U13" s="142" t="str">
        <f t="shared" ca="1" si="11"/>
        <v>Pass</v>
      </c>
      <c r="V13" s="142" t="str">
        <f t="shared" ca="1" si="12"/>
        <v>Pass</v>
      </c>
      <c r="W13" s="142" t="str">
        <f t="shared" ca="1" si="13"/>
        <v>Pass</v>
      </c>
      <c r="X13" s="142" t="str">
        <f t="shared" ca="1" si="14"/>
        <v>Pass</v>
      </c>
    </row>
    <row r="14" spans="2:24">
      <c r="B14" s="147" t="s">
        <v>343</v>
      </c>
      <c r="C14" s="300" t="s">
        <v>36</v>
      </c>
      <c r="D14" s="102">
        <f ca="1">IFERROR(VLOOKUP(B14&amp;"_"&amp;C14,'MX Inflation Sensi'!$A$2:$H$500,4,FALSE),0)</f>
        <v>0</v>
      </c>
      <c r="E14" s="83">
        <f ca="1">VLOOKUP(C14,Sensitivities!$A$6:$AB$44,7,FALSE)</f>
        <v>0</v>
      </c>
      <c r="F14" s="87">
        <f t="shared" ca="1" si="5"/>
        <v>0</v>
      </c>
      <c r="G14" s="102">
        <f ca="1">IFERROR(VLOOKUP(B14&amp;"_"&amp;C14,'MX Inflation Sensi'!$A$2:$H$500,6,FALSE),0)</f>
        <v>0</v>
      </c>
      <c r="H14" s="83">
        <f ca="1">VLOOKUP(C14,Sensitivities!$A$6:$AB$44,16,FALSE)</f>
        <v>0</v>
      </c>
      <c r="I14" s="87">
        <f t="shared" ca="1" si="6"/>
        <v>0</v>
      </c>
      <c r="J14" s="102">
        <f ca="1">IFERROR(VLOOKUP(B14&amp;"_"&amp;C14,'MX Inflation Sensi'!$A$2:$H$500,5,FALSE),0)</f>
        <v>0</v>
      </c>
      <c r="K14" s="83">
        <f ca="1">VLOOKUP(C14,Sensitivities!$A$6:$AB$44,25,FALSE)</f>
        <v>0</v>
      </c>
      <c r="L14" s="87">
        <f t="shared" ca="1" si="7"/>
        <v>0</v>
      </c>
      <c r="M14" s="102">
        <f ca="1">IFERROR(VLOOKUP(B14&amp;"_"&amp;C14,'MX Inflation Sensi'!$A$2:$H$500,7,FALSE),0)</f>
        <v>0</v>
      </c>
      <c r="N14" s="83">
        <f ca="1">VLOOKUP(C14,Sensitivities!$A$6:$AB$44,8,FALSE)</f>
        <v>0</v>
      </c>
      <c r="O14" s="87">
        <f t="shared" ca="1" si="8"/>
        <v>0</v>
      </c>
      <c r="P14" s="102">
        <f ca="1">IFERROR(VLOOKUP(B14&amp;"_"&amp;C14,'MX Inflation Sensi'!$A$2:$H$500,8,FALSE),0)</f>
        <v>0</v>
      </c>
      <c r="Q14" s="83">
        <f ca="1">VLOOKUP(C14,Sensitivities!$A$6:$AB$44,17,FALSE)</f>
        <v>0</v>
      </c>
      <c r="R14" s="148">
        <f t="shared" ca="1" si="9"/>
        <v>0</v>
      </c>
      <c r="T14" s="142" t="str">
        <f t="shared" ca="1" si="10"/>
        <v>Pass</v>
      </c>
      <c r="U14" s="142" t="str">
        <f t="shared" ca="1" si="11"/>
        <v>Pass</v>
      </c>
      <c r="V14" s="142" t="str">
        <f t="shared" ca="1" si="12"/>
        <v>Pass</v>
      </c>
      <c r="W14" s="142" t="str">
        <f t="shared" ca="1" si="13"/>
        <v>Pass</v>
      </c>
      <c r="X14" s="142" t="str">
        <f t="shared" ca="1" si="14"/>
        <v>Pass</v>
      </c>
    </row>
    <row r="15" spans="2:24">
      <c r="B15" s="147" t="s">
        <v>343</v>
      </c>
      <c r="C15" s="300" t="s">
        <v>65</v>
      </c>
      <c r="D15" s="102">
        <f ca="1">IFERROR(VLOOKUP(B15&amp;"_"&amp;C15,'MX Inflation Sensi'!$A$2:$H$500,4,FALSE),0)</f>
        <v>0</v>
      </c>
      <c r="E15" s="83">
        <f ca="1">VLOOKUP(C15,Sensitivities!$A$6:$AB$44,7,FALSE)</f>
        <v>0</v>
      </c>
      <c r="F15" s="87">
        <f t="shared" ca="1" si="5"/>
        <v>0</v>
      </c>
      <c r="G15" s="102">
        <f ca="1">IFERROR(VLOOKUP(B15&amp;"_"&amp;C15,'MX Inflation Sensi'!$A$2:$H$500,6,FALSE),0)</f>
        <v>0</v>
      </c>
      <c r="H15" s="83">
        <f ca="1">VLOOKUP(C15,Sensitivities!$A$6:$AB$44,16,FALSE)</f>
        <v>0</v>
      </c>
      <c r="I15" s="87">
        <f t="shared" ca="1" si="6"/>
        <v>0</v>
      </c>
      <c r="J15" s="102">
        <f ca="1">IFERROR(VLOOKUP(B15&amp;"_"&amp;C15,'MX Inflation Sensi'!$A$2:$H$500,5,FALSE),0)</f>
        <v>0</v>
      </c>
      <c r="K15" s="83">
        <f ca="1">VLOOKUP(C15,Sensitivities!$A$6:$AB$44,25,FALSE)</f>
        <v>0</v>
      </c>
      <c r="L15" s="87">
        <f t="shared" ca="1" si="7"/>
        <v>0</v>
      </c>
      <c r="M15" s="102">
        <f ca="1">IFERROR(VLOOKUP(B15&amp;"_"&amp;C15,'MX Inflation Sensi'!$A$2:$H$500,7,FALSE),0)</f>
        <v>0</v>
      </c>
      <c r="N15" s="83">
        <f ca="1">VLOOKUP(C15,Sensitivities!$A$6:$AB$44,8,FALSE)</f>
        <v>0</v>
      </c>
      <c r="O15" s="87">
        <f t="shared" ca="1" si="8"/>
        <v>0</v>
      </c>
      <c r="P15" s="102">
        <f ca="1">IFERROR(VLOOKUP(B15&amp;"_"&amp;C15,'MX Inflation Sensi'!$A$2:$H$500,8,FALSE),0)</f>
        <v>0</v>
      </c>
      <c r="Q15" s="83">
        <f ca="1">VLOOKUP(C15,Sensitivities!$A$6:$AB$44,17,FALSE)</f>
        <v>0</v>
      </c>
      <c r="R15" s="148">
        <f t="shared" ca="1" si="9"/>
        <v>0</v>
      </c>
      <c r="T15" s="142" t="str">
        <f t="shared" ca="1" si="10"/>
        <v>Pass</v>
      </c>
      <c r="U15" s="142" t="str">
        <f t="shared" ca="1" si="11"/>
        <v>Pass</v>
      </c>
      <c r="V15" s="142" t="str">
        <f t="shared" ca="1" si="12"/>
        <v>Pass</v>
      </c>
      <c r="W15" s="142" t="str">
        <f t="shared" ca="1" si="13"/>
        <v>Pass</v>
      </c>
      <c r="X15" s="142" t="str">
        <f t="shared" ca="1" si="14"/>
        <v>Pass</v>
      </c>
    </row>
    <row r="16" spans="2:24">
      <c r="B16" s="147" t="s">
        <v>343</v>
      </c>
      <c r="C16" s="300" t="s">
        <v>66</v>
      </c>
      <c r="D16" s="102">
        <f ca="1">IFERROR(VLOOKUP(B16&amp;"_"&amp;C16,'MX Inflation Sensi'!$A$2:$H$500,4,FALSE),0)</f>
        <v>0</v>
      </c>
      <c r="E16" s="83">
        <f ca="1">VLOOKUP(C16,Sensitivities!$A$6:$AB$44,7,FALSE)</f>
        <v>0</v>
      </c>
      <c r="F16" s="87">
        <f t="shared" ca="1" si="5"/>
        <v>0</v>
      </c>
      <c r="G16" s="102">
        <f ca="1">IFERROR(VLOOKUP(B16&amp;"_"&amp;C16,'MX Inflation Sensi'!$A$2:$H$500,6,FALSE),0)</f>
        <v>0</v>
      </c>
      <c r="H16" s="83">
        <f ca="1">VLOOKUP(C16,Sensitivities!$A$6:$AB$44,16,FALSE)</f>
        <v>0</v>
      </c>
      <c r="I16" s="87">
        <f t="shared" ca="1" si="6"/>
        <v>0</v>
      </c>
      <c r="J16" s="102">
        <f ca="1">IFERROR(VLOOKUP(B16&amp;"_"&amp;C16,'MX Inflation Sensi'!$A$2:$H$500,5,FALSE),0)</f>
        <v>0</v>
      </c>
      <c r="K16" s="83">
        <f ca="1">VLOOKUP(C16,Sensitivities!$A$6:$AB$44,25,FALSE)</f>
        <v>0</v>
      </c>
      <c r="L16" s="87">
        <f t="shared" ca="1" si="7"/>
        <v>0</v>
      </c>
      <c r="M16" s="102">
        <f ca="1">IFERROR(VLOOKUP(B16&amp;"_"&amp;C16,'MX Inflation Sensi'!$A$2:$H$500,7,FALSE),0)</f>
        <v>0</v>
      </c>
      <c r="N16" s="83">
        <f ca="1">VLOOKUP(C16,Sensitivities!$A$6:$AB$44,8,FALSE)</f>
        <v>0</v>
      </c>
      <c r="O16" s="87">
        <f t="shared" ca="1" si="8"/>
        <v>0</v>
      </c>
      <c r="P16" s="102">
        <f ca="1">IFERROR(VLOOKUP(B16&amp;"_"&amp;C16,'MX Inflation Sensi'!$A$2:$H$500,8,FALSE),0)</f>
        <v>0</v>
      </c>
      <c r="Q16" s="83">
        <f ca="1">VLOOKUP(C16,Sensitivities!$A$6:$AB$44,17,FALSE)</f>
        <v>0</v>
      </c>
      <c r="R16" s="148">
        <f t="shared" ca="1" si="9"/>
        <v>0</v>
      </c>
      <c r="T16" s="142" t="str">
        <f t="shared" ca="1" si="10"/>
        <v>Pass</v>
      </c>
      <c r="U16" s="142" t="str">
        <f t="shared" ca="1" si="11"/>
        <v>Pass</v>
      </c>
      <c r="V16" s="142" t="str">
        <f t="shared" ca="1" si="12"/>
        <v>Pass</v>
      </c>
      <c r="W16" s="142" t="str">
        <f t="shared" ca="1" si="13"/>
        <v>Pass</v>
      </c>
      <c r="X16" s="142" t="str">
        <f t="shared" ca="1" si="14"/>
        <v>Pass</v>
      </c>
    </row>
    <row r="17" spans="2:24">
      <c r="B17" s="147" t="s">
        <v>343</v>
      </c>
      <c r="C17" s="300" t="s">
        <v>67</v>
      </c>
      <c r="D17" s="102">
        <f ca="1">IFERROR(VLOOKUP(B17&amp;"_"&amp;C17,'MX Inflation Sensi'!$A$2:$H$500,4,FALSE),0)</f>
        <v>0</v>
      </c>
      <c r="E17" s="83">
        <f ca="1">VLOOKUP(C17,Sensitivities!$A$6:$AB$44,7,FALSE)</f>
        <v>0</v>
      </c>
      <c r="F17" s="87">
        <f t="shared" ca="1" si="5"/>
        <v>0</v>
      </c>
      <c r="G17" s="102">
        <f ca="1">IFERROR(VLOOKUP(B17&amp;"_"&amp;C17,'MX Inflation Sensi'!$A$2:$H$500,6,FALSE),0)</f>
        <v>0</v>
      </c>
      <c r="H17" s="83">
        <f ca="1">VLOOKUP(C17,Sensitivities!$A$6:$AB$44,16,FALSE)</f>
        <v>0</v>
      </c>
      <c r="I17" s="87">
        <f t="shared" ca="1" si="6"/>
        <v>0</v>
      </c>
      <c r="J17" s="102">
        <f ca="1">IFERROR(VLOOKUP(B17&amp;"_"&amp;C17,'MX Inflation Sensi'!$A$2:$H$500,5,FALSE),0)</f>
        <v>0</v>
      </c>
      <c r="K17" s="83">
        <f ca="1">VLOOKUP(C17,Sensitivities!$A$6:$AB$44,25,FALSE)</f>
        <v>0</v>
      </c>
      <c r="L17" s="87">
        <f t="shared" ca="1" si="7"/>
        <v>0</v>
      </c>
      <c r="M17" s="102">
        <f ca="1">IFERROR(VLOOKUP(B17&amp;"_"&amp;C17,'MX Inflation Sensi'!$A$2:$H$500,7,FALSE),0)</f>
        <v>0</v>
      </c>
      <c r="N17" s="83">
        <f ca="1">VLOOKUP(C17,Sensitivities!$A$6:$AB$44,8,FALSE)</f>
        <v>0</v>
      </c>
      <c r="O17" s="87">
        <f t="shared" ca="1" si="8"/>
        <v>0</v>
      </c>
      <c r="P17" s="102">
        <f ca="1">IFERROR(VLOOKUP(B17&amp;"_"&amp;C17,'MX Inflation Sensi'!$A$2:$H$500,8,FALSE),0)</f>
        <v>0</v>
      </c>
      <c r="Q17" s="83">
        <f ca="1">VLOOKUP(C17,Sensitivities!$A$6:$AB$44,17,FALSE)</f>
        <v>0</v>
      </c>
      <c r="R17" s="148">
        <f t="shared" ca="1" si="9"/>
        <v>0</v>
      </c>
      <c r="T17" s="142" t="str">
        <f t="shared" ca="1" si="10"/>
        <v>Pass</v>
      </c>
      <c r="U17" s="142" t="str">
        <f t="shared" ca="1" si="11"/>
        <v>Pass</v>
      </c>
      <c r="V17" s="142" t="str">
        <f t="shared" ca="1" si="12"/>
        <v>Pass</v>
      </c>
      <c r="W17" s="142" t="str">
        <f t="shared" ca="1" si="13"/>
        <v>Pass</v>
      </c>
      <c r="X17" s="142" t="str">
        <f t="shared" ca="1" si="14"/>
        <v>Pass</v>
      </c>
    </row>
    <row r="18" spans="2:24">
      <c r="B18" s="147" t="s">
        <v>343</v>
      </c>
      <c r="C18" s="300" t="s">
        <v>68</v>
      </c>
      <c r="D18" s="102">
        <f ca="1">IFERROR(VLOOKUP(B18&amp;"_"&amp;C18,'MX Inflation Sensi'!$A$2:$H$500,4,FALSE),0)</f>
        <v>0</v>
      </c>
      <c r="E18" s="83">
        <f ca="1">VLOOKUP(C18,Sensitivities!$A$6:$AB$44,7,FALSE)</f>
        <v>0</v>
      </c>
      <c r="F18" s="87">
        <f t="shared" ca="1" si="5"/>
        <v>0</v>
      </c>
      <c r="G18" s="102">
        <f ca="1">IFERROR(VLOOKUP(B18&amp;"_"&amp;C18,'MX Inflation Sensi'!$A$2:$H$500,6,FALSE),0)</f>
        <v>0</v>
      </c>
      <c r="H18" s="83">
        <f ca="1">VLOOKUP(C18,Sensitivities!$A$6:$AB$44,16,FALSE)</f>
        <v>0</v>
      </c>
      <c r="I18" s="87">
        <f t="shared" ca="1" si="6"/>
        <v>0</v>
      </c>
      <c r="J18" s="102">
        <f ca="1">IFERROR(VLOOKUP(B18&amp;"_"&amp;C18,'MX Inflation Sensi'!$A$2:$H$500,5,FALSE),0)</f>
        <v>0</v>
      </c>
      <c r="K18" s="83">
        <f ca="1">VLOOKUP(C18,Sensitivities!$A$6:$AB$44,25,FALSE)</f>
        <v>0</v>
      </c>
      <c r="L18" s="87">
        <f t="shared" ca="1" si="7"/>
        <v>0</v>
      </c>
      <c r="M18" s="102">
        <f ca="1">IFERROR(VLOOKUP(B18&amp;"_"&amp;C18,'MX Inflation Sensi'!$A$2:$H$500,7,FALSE),0)</f>
        <v>0</v>
      </c>
      <c r="N18" s="83">
        <f ca="1">VLOOKUP(C18,Sensitivities!$A$6:$AB$44,8,FALSE)</f>
        <v>0</v>
      </c>
      <c r="O18" s="87">
        <f t="shared" ca="1" si="8"/>
        <v>0</v>
      </c>
      <c r="P18" s="102">
        <f ca="1">IFERROR(VLOOKUP(B18&amp;"_"&amp;C18,'MX Inflation Sensi'!$A$2:$H$500,8,FALSE),0)</f>
        <v>0</v>
      </c>
      <c r="Q18" s="83">
        <f ca="1">VLOOKUP(C18,Sensitivities!$A$6:$AB$44,17,FALSE)</f>
        <v>0</v>
      </c>
      <c r="R18" s="148">
        <f t="shared" ca="1" si="9"/>
        <v>0</v>
      </c>
      <c r="T18" s="142" t="str">
        <f t="shared" ca="1" si="10"/>
        <v>Pass</v>
      </c>
      <c r="U18" s="142" t="str">
        <f t="shared" ca="1" si="11"/>
        <v>Pass</v>
      </c>
      <c r="V18" s="142" t="str">
        <f t="shared" ca="1" si="12"/>
        <v>Pass</v>
      </c>
      <c r="W18" s="142" t="str">
        <f t="shared" ca="1" si="13"/>
        <v>Pass</v>
      </c>
      <c r="X18" s="142" t="str">
        <f t="shared" ca="1" si="14"/>
        <v>Pass</v>
      </c>
    </row>
    <row r="19" spans="2:24">
      <c r="B19" s="147" t="s">
        <v>343</v>
      </c>
      <c r="C19" s="300" t="s">
        <v>69</v>
      </c>
      <c r="D19" s="102">
        <f ca="1">IFERROR(VLOOKUP(B19&amp;"_"&amp;C19,'MX Inflation Sensi'!$A$2:$H$500,4,FALSE),0)</f>
        <v>0</v>
      </c>
      <c r="E19" s="83">
        <f ca="1">VLOOKUP(C19,Sensitivities!$A$6:$AB$44,7,FALSE)</f>
        <v>0</v>
      </c>
      <c r="F19" s="87">
        <f t="shared" ca="1" si="5"/>
        <v>0</v>
      </c>
      <c r="G19" s="102">
        <f ca="1">IFERROR(VLOOKUP(B19&amp;"_"&amp;C19,'MX Inflation Sensi'!$A$2:$H$500,6,FALSE),0)</f>
        <v>0</v>
      </c>
      <c r="H19" s="83">
        <f ca="1">VLOOKUP(C19,Sensitivities!$A$6:$AB$44,16,FALSE)</f>
        <v>0</v>
      </c>
      <c r="I19" s="87">
        <f t="shared" ca="1" si="6"/>
        <v>0</v>
      </c>
      <c r="J19" s="102">
        <f ca="1">IFERROR(VLOOKUP(B19&amp;"_"&amp;C19,'MX Inflation Sensi'!$A$2:$H$500,5,FALSE),0)</f>
        <v>0</v>
      </c>
      <c r="K19" s="83">
        <f ca="1">VLOOKUP(C19,Sensitivities!$A$6:$AB$44,25,FALSE)</f>
        <v>0</v>
      </c>
      <c r="L19" s="87">
        <f t="shared" ca="1" si="7"/>
        <v>0</v>
      </c>
      <c r="M19" s="102">
        <f ca="1">IFERROR(VLOOKUP(B19&amp;"_"&amp;C19,'MX Inflation Sensi'!$A$2:$H$500,7,FALSE),0)</f>
        <v>0</v>
      </c>
      <c r="N19" s="83">
        <f ca="1">VLOOKUP(C19,Sensitivities!$A$6:$AB$44,8,FALSE)</f>
        <v>0</v>
      </c>
      <c r="O19" s="87">
        <f t="shared" ca="1" si="8"/>
        <v>0</v>
      </c>
      <c r="P19" s="102">
        <f ca="1">IFERROR(VLOOKUP(B19&amp;"_"&amp;C19,'MX Inflation Sensi'!$A$2:$H$500,8,FALSE),0)</f>
        <v>0</v>
      </c>
      <c r="Q19" s="83">
        <f ca="1">VLOOKUP(C19,Sensitivities!$A$6:$AB$44,17,FALSE)</f>
        <v>0</v>
      </c>
      <c r="R19" s="148">
        <f t="shared" ca="1" si="9"/>
        <v>0</v>
      </c>
      <c r="T19" s="142" t="str">
        <f t="shared" ca="1" si="10"/>
        <v>Pass</v>
      </c>
      <c r="U19" s="142" t="str">
        <f t="shared" ca="1" si="11"/>
        <v>Pass</v>
      </c>
      <c r="V19" s="142" t="str">
        <f t="shared" ca="1" si="12"/>
        <v>Pass</v>
      </c>
      <c r="W19" s="142" t="str">
        <f t="shared" ca="1" si="13"/>
        <v>Pass</v>
      </c>
      <c r="X19" s="142" t="str">
        <f t="shared" ca="1" si="14"/>
        <v>Pass</v>
      </c>
    </row>
    <row r="20" spans="2:24">
      <c r="B20" s="147" t="s">
        <v>343</v>
      </c>
      <c r="C20" s="300" t="s">
        <v>70</v>
      </c>
      <c r="D20" s="102">
        <f ca="1">IFERROR(VLOOKUP(B20&amp;"_"&amp;C20,'MX Inflation Sensi'!$A$2:$H$500,4,FALSE),0)</f>
        <v>0</v>
      </c>
      <c r="E20" s="83">
        <f ca="1">VLOOKUP(C20,Sensitivities!$A$6:$AB$44,7,FALSE)</f>
        <v>0</v>
      </c>
      <c r="F20" s="87">
        <f t="shared" ca="1" si="5"/>
        <v>0</v>
      </c>
      <c r="G20" s="102">
        <f ca="1">IFERROR(VLOOKUP(B20&amp;"_"&amp;C20,'MX Inflation Sensi'!$A$2:$H$500,6,FALSE),0)</f>
        <v>0</v>
      </c>
      <c r="H20" s="83">
        <f ca="1">VLOOKUP(C20,Sensitivities!$A$6:$AB$44,16,FALSE)</f>
        <v>0</v>
      </c>
      <c r="I20" s="87">
        <f t="shared" ca="1" si="6"/>
        <v>0</v>
      </c>
      <c r="J20" s="102">
        <f ca="1">IFERROR(VLOOKUP(B20&amp;"_"&amp;C20,'MX Inflation Sensi'!$A$2:$H$500,5,FALSE),0)</f>
        <v>0</v>
      </c>
      <c r="K20" s="83">
        <f ca="1">VLOOKUP(C20,Sensitivities!$A$6:$AB$44,25,FALSE)</f>
        <v>0</v>
      </c>
      <c r="L20" s="87">
        <f t="shared" ca="1" si="7"/>
        <v>0</v>
      </c>
      <c r="M20" s="102">
        <f ca="1">IFERROR(VLOOKUP(B20&amp;"_"&amp;C20,'MX Inflation Sensi'!$A$2:$H$500,7,FALSE),0)</f>
        <v>0</v>
      </c>
      <c r="N20" s="83">
        <f ca="1">VLOOKUP(C20,Sensitivities!$A$6:$AB$44,8,FALSE)</f>
        <v>0</v>
      </c>
      <c r="O20" s="87">
        <f t="shared" ca="1" si="8"/>
        <v>0</v>
      </c>
      <c r="P20" s="102">
        <f ca="1">IFERROR(VLOOKUP(B20&amp;"_"&amp;C20,'MX Inflation Sensi'!$A$2:$H$500,8,FALSE),0)</f>
        <v>0</v>
      </c>
      <c r="Q20" s="83">
        <f ca="1">VLOOKUP(C20,Sensitivities!$A$6:$AB$44,17,FALSE)</f>
        <v>0</v>
      </c>
      <c r="R20" s="148">
        <f t="shared" ca="1" si="9"/>
        <v>0</v>
      </c>
      <c r="T20" s="142" t="str">
        <f t="shared" ca="1" si="10"/>
        <v>Pass</v>
      </c>
      <c r="U20" s="142" t="str">
        <f t="shared" ca="1" si="11"/>
        <v>Pass</v>
      </c>
      <c r="V20" s="142" t="str">
        <f t="shared" ca="1" si="12"/>
        <v>Pass</v>
      </c>
      <c r="W20" s="142" t="str">
        <f t="shared" ca="1" si="13"/>
        <v>Pass</v>
      </c>
      <c r="X20" s="142" t="str">
        <f t="shared" ca="1" si="14"/>
        <v>Pass</v>
      </c>
    </row>
    <row r="21" spans="2:24">
      <c r="B21" s="147" t="s">
        <v>343</v>
      </c>
      <c r="C21" s="300" t="s">
        <v>71</v>
      </c>
      <c r="D21" s="102">
        <f ca="1">IFERROR(VLOOKUP(B21&amp;"_"&amp;C21,'MX Inflation Sensi'!$A$2:$H$500,4,FALSE),0)</f>
        <v>0</v>
      </c>
      <c r="E21" s="83">
        <f ca="1">VLOOKUP(C21,Sensitivities!$A$6:$AB$44,7,FALSE)</f>
        <v>0</v>
      </c>
      <c r="F21" s="87">
        <f t="shared" ca="1" si="5"/>
        <v>0</v>
      </c>
      <c r="G21" s="102">
        <f ca="1">IFERROR(VLOOKUP(B21&amp;"_"&amp;C21,'MX Inflation Sensi'!$A$2:$H$500,6,FALSE),0)</f>
        <v>0</v>
      </c>
      <c r="H21" s="83">
        <f ca="1">VLOOKUP(C21,Sensitivities!$A$6:$AB$44,16,FALSE)</f>
        <v>0</v>
      </c>
      <c r="I21" s="87">
        <f t="shared" ca="1" si="6"/>
        <v>0</v>
      </c>
      <c r="J21" s="102">
        <f ca="1">IFERROR(VLOOKUP(B21&amp;"_"&amp;C21,'MX Inflation Sensi'!$A$2:$H$500,5,FALSE),0)</f>
        <v>0</v>
      </c>
      <c r="K21" s="83">
        <f ca="1">VLOOKUP(C21,Sensitivities!$A$6:$AB$44,25,FALSE)</f>
        <v>0</v>
      </c>
      <c r="L21" s="87">
        <f t="shared" ca="1" si="7"/>
        <v>0</v>
      </c>
      <c r="M21" s="102">
        <f ca="1">IFERROR(VLOOKUP(B21&amp;"_"&amp;C21,'MX Inflation Sensi'!$A$2:$H$500,7,FALSE),0)</f>
        <v>0</v>
      </c>
      <c r="N21" s="83">
        <f ca="1">VLOOKUP(C21,Sensitivities!$A$6:$AB$44,8,FALSE)</f>
        <v>0</v>
      </c>
      <c r="O21" s="87">
        <f t="shared" ca="1" si="8"/>
        <v>0</v>
      </c>
      <c r="P21" s="102">
        <f ca="1">IFERROR(VLOOKUP(B21&amp;"_"&amp;C21,'MX Inflation Sensi'!$A$2:$H$500,8,FALSE),0)</f>
        <v>0</v>
      </c>
      <c r="Q21" s="83">
        <f ca="1">VLOOKUP(C21,Sensitivities!$A$6:$AB$44,17,FALSE)</f>
        <v>0</v>
      </c>
      <c r="R21" s="148">
        <f t="shared" ca="1" si="9"/>
        <v>0</v>
      </c>
      <c r="T21" s="142" t="str">
        <f t="shared" ca="1" si="10"/>
        <v>Pass</v>
      </c>
      <c r="U21" s="142" t="str">
        <f t="shared" ca="1" si="11"/>
        <v>Pass</v>
      </c>
      <c r="V21" s="142" t="str">
        <f t="shared" ca="1" si="12"/>
        <v>Pass</v>
      </c>
      <c r="W21" s="142" t="str">
        <f t="shared" ca="1" si="13"/>
        <v>Pass</v>
      </c>
      <c r="X21" s="142" t="str">
        <f t="shared" ca="1" si="14"/>
        <v>Pass</v>
      </c>
    </row>
    <row r="22" spans="2:24">
      <c r="B22" s="147" t="s">
        <v>343</v>
      </c>
      <c r="C22" s="300" t="s">
        <v>72</v>
      </c>
      <c r="D22" s="102">
        <f ca="1">IFERROR(VLOOKUP(B22&amp;"_"&amp;C22,'MX Inflation Sensi'!$A$2:$H$500,4,FALSE),0)</f>
        <v>0</v>
      </c>
      <c r="E22" s="83">
        <f ca="1">VLOOKUP(C22,Sensitivities!$A$6:$AB$44,7,FALSE)</f>
        <v>0</v>
      </c>
      <c r="F22" s="87">
        <f t="shared" ca="1" si="5"/>
        <v>0</v>
      </c>
      <c r="G22" s="102">
        <f ca="1">IFERROR(VLOOKUP(B22&amp;"_"&amp;C22,'MX Inflation Sensi'!$A$2:$H$500,6,FALSE),0)</f>
        <v>0</v>
      </c>
      <c r="H22" s="83">
        <f ca="1">VLOOKUP(C22,Sensitivities!$A$6:$AB$44,16,FALSE)</f>
        <v>0</v>
      </c>
      <c r="I22" s="87">
        <f t="shared" ca="1" si="6"/>
        <v>0</v>
      </c>
      <c r="J22" s="102">
        <f ca="1">IFERROR(VLOOKUP(B22&amp;"_"&amp;C22,'MX Inflation Sensi'!$A$2:$H$500,5,FALSE),0)</f>
        <v>0</v>
      </c>
      <c r="K22" s="83">
        <f ca="1">VLOOKUP(C22,Sensitivities!$A$6:$AB$44,25,FALSE)</f>
        <v>0</v>
      </c>
      <c r="L22" s="87">
        <f t="shared" ca="1" si="7"/>
        <v>0</v>
      </c>
      <c r="M22" s="102">
        <f ca="1">IFERROR(VLOOKUP(B22&amp;"_"&amp;C22,'MX Inflation Sensi'!$A$2:$H$500,7,FALSE),0)</f>
        <v>0</v>
      </c>
      <c r="N22" s="83">
        <f ca="1">VLOOKUP(C22,Sensitivities!$A$6:$AB$44,8,FALSE)</f>
        <v>0</v>
      </c>
      <c r="O22" s="87">
        <f t="shared" ca="1" si="8"/>
        <v>0</v>
      </c>
      <c r="P22" s="102">
        <f ca="1">IFERROR(VLOOKUP(B22&amp;"_"&amp;C22,'MX Inflation Sensi'!$A$2:$H$500,8,FALSE),0)</f>
        <v>0</v>
      </c>
      <c r="Q22" s="83">
        <f ca="1">VLOOKUP(C22,Sensitivities!$A$6:$AB$44,17,FALSE)</f>
        <v>0</v>
      </c>
      <c r="R22" s="148">
        <f t="shared" ca="1" si="9"/>
        <v>0</v>
      </c>
      <c r="T22" s="142" t="str">
        <f t="shared" ca="1" si="10"/>
        <v>Pass</v>
      </c>
      <c r="U22" s="142" t="str">
        <f t="shared" ca="1" si="11"/>
        <v>Pass</v>
      </c>
      <c r="V22" s="142" t="str">
        <f t="shared" ca="1" si="12"/>
        <v>Pass</v>
      </c>
      <c r="W22" s="142" t="str">
        <f t="shared" ca="1" si="13"/>
        <v>Pass</v>
      </c>
      <c r="X22" s="142" t="str">
        <f t="shared" ca="1" si="14"/>
        <v>Pass</v>
      </c>
    </row>
    <row r="23" spans="2:24">
      <c r="B23" s="147" t="s">
        <v>343</v>
      </c>
      <c r="C23" s="300" t="s">
        <v>73</v>
      </c>
      <c r="D23" s="102">
        <f ca="1">IFERROR(VLOOKUP(B23&amp;"_"&amp;C23,'MX Inflation Sensi'!$A$2:$H$500,4,FALSE),0)</f>
        <v>96493.982572145804</v>
      </c>
      <c r="E23" s="83">
        <f ca="1">VLOOKUP(C23,Sensitivities!$A$6:$AB$44,7,FALSE)</f>
        <v>96493.982572138877</v>
      </c>
      <c r="F23" s="87">
        <f t="shared" ca="1" si="5"/>
        <v>-6.9267116487026215E-9</v>
      </c>
      <c r="G23" s="102">
        <f ca="1">IFERROR(VLOOKUP(B23&amp;"_"&amp;C23,'MX Inflation Sensi'!$A$2:$H$500,6,FALSE),0)</f>
        <v>95948.594915273497</v>
      </c>
      <c r="H23" s="83">
        <f ca="1">VLOOKUP(C23,Sensitivities!$A$6:$AB$44,16,FALSE)</f>
        <v>95948.594915226742</v>
      </c>
      <c r="I23" s="87">
        <f t="shared" ca="1" si="6"/>
        <v>-4.6755303628742695E-8</v>
      </c>
      <c r="J23" s="102">
        <f ca="1">IFERROR(VLOOKUP(B23&amp;"_"&amp;C23,'MX Inflation Sensi'!$A$2:$H$500,5,FALSE),0)</f>
        <v>157770.369615156</v>
      </c>
      <c r="K23" s="83">
        <f ca="1">VLOOKUP(C23,Sensitivities!$A$6:$AB$44,25,FALSE)</f>
        <v>169295.4811353503</v>
      </c>
      <c r="L23" s="87">
        <f t="shared" ca="1" si="7"/>
        <v>11525.111520194303</v>
      </c>
      <c r="M23" s="102">
        <f ca="1">IFERROR(VLOOKUP(B23&amp;"_"&amp;C23,'MX Inflation Sensi'!$A$2:$H$500,7,FALSE),0)</f>
        <v>149.78401000137299</v>
      </c>
      <c r="N23" s="83">
        <f ca="1">VLOOKUP(C23,Sensitivities!$A$6:$AB$44,8,FALSE)</f>
        <v>149.79833744403732</v>
      </c>
      <c r="O23" s="87">
        <f t="shared" ca="1" si="8"/>
        <v>1.4327442664324508E-2</v>
      </c>
      <c r="P23" s="102">
        <f ca="1">IFERROR(VLOOKUP(B23&amp;"_"&amp;C23,'MX Inflation Sensi'!$A$2:$H$500,8,FALSE),0)</f>
        <v>167.87317159794199</v>
      </c>
      <c r="Q23" s="83">
        <f ca="1">VLOOKUP(C23,Sensitivities!$A$6:$AB$44,17,FALSE)</f>
        <v>148.89958939129428</v>
      </c>
      <c r="R23" s="148">
        <f t="shared" ca="1" si="9"/>
        <v>-18.973582206647706</v>
      </c>
      <c r="T23" s="142" t="str">
        <f t="shared" ca="1" si="10"/>
        <v>Pass</v>
      </c>
      <c r="U23" s="142" t="str">
        <f t="shared" ca="1" si="11"/>
        <v>Pass</v>
      </c>
      <c r="V23" s="142" t="str">
        <f t="shared" ca="1" si="12"/>
        <v>Fail</v>
      </c>
      <c r="W23" s="142" t="str">
        <f t="shared" ca="1" si="13"/>
        <v>Fail</v>
      </c>
      <c r="X23" s="142" t="str">
        <f t="shared" ca="1" si="14"/>
        <v>Fail</v>
      </c>
    </row>
    <row r="24" spans="2:24">
      <c r="B24" s="147" t="s">
        <v>343</v>
      </c>
      <c r="C24" s="300" t="s">
        <v>74</v>
      </c>
      <c r="D24" s="102">
        <f ca="1">IFERROR(VLOOKUP(B24&amp;"_"&amp;C24,'MX Inflation Sensi'!$A$2:$H$500,4,FALSE),0)</f>
        <v>99981.796479765195</v>
      </c>
      <c r="E24" s="83">
        <f ca="1">VLOOKUP(C24,Sensitivities!$A$6:$AB$44,7,FALSE)</f>
        <v>99981.796479772893</v>
      </c>
      <c r="F24" s="87">
        <f t="shared" ca="1" si="5"/>
        <v>7.6979631558060646E-9</v>
      </c>
      <c r="G24" s="102">
        <f ca="1">IFERROR(VLOOKUP(B24&amp;"_"&amp;C24,'MX Inflation Sensi'!$A$2:$H$500,6,FALSE),0)</f>
        <v>99557.433551688504</v>
      </c>
      <c r="H24" s="83">
        <f ca="1">VLOOKUP(C24,Sensitivities!$A$6:$AB$44,16,FALSE)</f>
        <v>99557.433551637238</v>
      </c>
      <c r="I24" s="87">
        <f t="shared" ca="1" si="6"/>
        <v>-5.1266397349536419E-8</v>
      </c>
      <c r="J24" s="102">
        <f ca="1">IFERROR(VLOOKUP(B24&amp;"_"&amp;C24,'MX Inflation Sensi'!$A$2:$H$500,5,FALSE),0)</f>
        <v>118376.638469382</v>
      </c>
      <c r="K24" s="83">
        <f ca="1">VLOOKUP(C24,Sensitivities!$A$6:$AB$44,25,FALSE)</f>
        <v>110342.09470031221</v>
      </c>
      <c r="L24" s="87">
        <f t="shared" ca="1" si="7"/>
        <v>-8034.5437690697872</v>
      </c>
      <c r="M24" s="102">
        <f ca="1">IFERROR(VLOOKUP(B24&amp;"_"&amp;C24,'MX Inflation Sensi'!$A$2:$H$500,7,FALSE),0)</f>
        <v>165.86595672398701</v>
      </c>
      <c r="N24" s="83">
        <f ca="1">VLOOKUP(C24,Sensitivities!$A$6:$AB$44,8,FALSE)</f>
        <v>165.8480947107455</v>
      </c>
      <c r="O24" s="87">
        <f t="shared" ca="1" si="8"/>
        <v>-1.7862013241511931E-2</v>
      </c>
      <c r="P24" s="102">
        <f ca="1">IFERROR(VLOOKUP(B24&amp;"_"&amp;C24,'MX Inflation Sensi'!$A$2:$H$500,8,FALSE),0)</f>
        <v>151.41308422423899</v>
      </c>
      <c r="Q24" s="83">
        <f ca="1">VLOOKUP(C24,Sensitivities!$A$6:$AB$44,17,FALSE)</f>
        <v>165.10374231763126</v>
      </c>
      <c r="R24" s="148">
        <f t="shared" ca="1" si="9"/>
        <v>13.690658093392273</v>
      </c>
      <c r="T24" s="142" t="str">
        <f t="shared" ca="1" si="10"/>
        <v>Pass</v>
      </c>
      <c r="U24" s="142" t="str">
        <f t="shared" ca="1" si="11"/>
        <v>Pass</v>
      </c>
      <c r="V24" s="142" t="str">
        <f t="shared" ca="1" si="12"/>
        <v>Fail</v>
      </c>
      <c r="W24" s="142" t="str">
        <f t="shared" ca="1" si="13"/>
        <v>Fail</v>
      </c>
      <c r="X24" s="142" t="str">
        <f t="shared" ca="1" si="14"/>
        <v>Fail</v>
      </c>
    </row>
    <row r="25" spans="2:24">
      <c r="B25" s="147" t="s">
        <v>343</v>
      </c>
      <c r="C25" s="300" t="s">
        <v>75</v>
      </c>
      <c r="D25" s="102">
        <f ca="1">IFERROR(VLOOKUP(B25&amp;"_"&amp;C25,'MX Inflation Sensi'!$A$2:$H$500,4,FALSE),0)</f>
        <v>250455.07455735299</v>
      </c>
      <c r="E25" s="83">
        <f ca="1">VLOOKUP(C25,Sensitivities!$A$6:$AB$44,7,FALSE)</f>
        <v>250455.07455735418</v>
      </c>
      <c r="F25" s="87">
        <f t="shared" ca="1" si="5"/>
        <v>1.1932570487260818E-9</v>
      </c>
      <c r="G25" s="102">
        <f ca="1">IFERROR(VLOOKUP(B25&amp;"_"&amp;C25,'MX Inflation Sensi'!$A$2:$H$500,6,FALSE),0)</f>
        <v>249604.17174823899</v>
      </c>
      <c r="H25" s="83">
        <f ca="1">VLOOKUP(C25,Sensitivities!$A$6:$AB$44,16,FALSE)</f>
        <v>249604.17174806679</v>
      </c>
      <c r="I25" s="87">
        <f t="shared" ca="1" si="6"/>
        <v>-1.7220736481249332E-7</v>
      </c>
      <c r="J25" s="102">
        <f ca="1">IFERROR(VLOOKUP(B25&amp;"_"&amp;C25,'MX Inflation Sensi'!$A$2:$H$500,5,FALSE),0)</f>
        <v>188973.04333488099</v>
      </c>
      <c r="K25" s="83">
        <f ca="1">VLOOKUP(C25,Sensitivities!$A$6:$AB$44,25,FALSE)</f>
        <v>186267.68708914297</v>
      </c>
      <c r="L25" s="87">
        <f t="shared" ca="1" si="7"/>
        <v>-2705.3562457380176</v>
      </c>
      <c r="M25" s="102">
        <f ca="1">IFERROR(VLOOKUP(B25&amp;"_"&amp;C25,'MX Inflation Sensi'!$A$2:$H$500,7,FALSE),0)</f>
        <v>574.66225434427804</v>
      </c>
      <c r="N25" s="83">
        <f ca="1">VLOOKUP(C25,Sensitivities!$A$6:$AB$44,8,FALSE)</f>
        <v>574.645859913202</v>
      </c>
      <c r="O25" s="87">
        <f t="shared" ca="1" si="8"/>
        <v>-1.6394431076037108E-2</v>
      </c>
      <c r="P25" s="102">
        <f ca="1">IFERROR(VLOOKUP(B25&amp;"_"&amp;C25,'MX Inflation Sensi'!$A$2:$H$500,8,FALSE),0)</f>
        <v>562.97643342316996</v>
      </c>
      <c r="Q25" s="83">
        <f ca="1">VLOOKUP(C25,Sensitivities!$A$6:$AB$44,17,FALSE)</f>
        <v>572.6125216242508</v>
      </c>
      <c r="R25" s="148">
        <f t="shared" ca="1" si="9"/>
        <v>9.6360882010808382</v>
      </c>
      <c r="T25" s="142" t="str">
        <f t="shared" ca="1" si="10"/>
        <v>Pass</v>
      </c>
      <c r="U25" s="142" t="str">
        <f t="shared" ca="1" si="11"/>
        <v>Pass</v>
      </c>
      <c r="V25" s="142" t="str">
        <f t="shared" ca="1" si="12"/>
        <v>Fail</v>
      </c>
      <c r="W25" s="142" t="str">
        <f t="shared" ca="1" si="13"/>
        <v>Fail</v>
      </c>
      <c r="X25" s="142" t="str">
        <f t="shared" ca="1" si="14"/>
        <v>Fail</v>
      </c>
    </row>
    <row r="26" spans="2:24">
      <c r="B26" s="147" t="s">
        <v>343</v>
      </c>
      <c r="C26" s="300" t="s">
        <v>76</v>
      </c>
      <c r="D26" s="102">
        <f ca="1">IFERROR(VLOOKUP(B26&amp;"_"&amp;C26,'MX Inflation Sensi'!$A$2:$H$500,4,FALSE),0)</f>
        <v>130153.66226360601</v>
      </c>
      <c r="E26" s="83">
        <f ca="1">VLOOKUP(C26,Sensitivities!$A$6:$AB$44,7,FALSE)</f>
        <v>130153.6622635994</v>
      </c>
      <c r="F26" s="87">
        <f t="shared" ca="1" si="5"/>
        <v>-6.6065695136785507E-9</v>
      </c>
      <c r="G26" s="102">
        <f ca="1">IFERROR(VLOOKUP(B26&amp;"_"&amp;C26,'MX Inflation Sensi'!$A$2:$H$500,6,FALSE),0)</f>
        <v>129784.903133265</v>
      </c>
      <c r="H26" s="83">
        <f ca="1">VLOOKUP(C26,Sensitivities!$A$6:$AB$44,16,FALSE)</f>
        <v>129784.90313314996</v>
      </c>
      <c r="I26" s="87">
        <f t="shared" ca="1" si="6"/>
        <v>-1.1504744179546833E-7</v>
      </c>
      <c r="J26" s="102">
        <f ca="1">IFERROR(VLOOKUP(B26&amp;"_"&amp;C26,'MX Inflation Sensi'!$A$2:$H$500,5,FALSE),0)</f>
        <v>54692.868610329097</v>
      </c>
      <c r="K26" s="83">
        <f ca="1">VLOOKUP(C26,Sensitivities!$A$6:$AB$44,25,FALSE)</f>
        <v>67221.542638484927</v>
      </c>
      <c r="L26" s="87">
        <f t="shared" ca="1" si="7"/>
        <v>12528.67402815583</v>
      </c>
      <c r="M26" s="102">
        <f ca="1">IFERROR(VLOOKUP(B26&amp;"_"&amp;C26,'MX Inflation Sensi'!$A$2:$H$500,7,FALSE),0)</f>
        <v>441.19488374348703</v>
      </c>
      <c r="N26" s="83">
        <f ca="1">VLOOKUP(C26,Sensitivities!$A$6:$AB$44,8,FALSE)</f>
        <v>441.41623797395732</v>
      </c>
      <c r="O26" s="87">
        <f t="shared" ca="1" si="8"/>
        <v>0.2213542304702969</v>
      </c>
      <c r="P26" s="102">
        <f ca="1">IFERROR(VLOOKUP(B26&amp;"_"&amp;C26,'MX Inflation Sensi'!$A$2:$H$500,8,FALSE),0)</f>
        <v>526.10180763706796</v>
      </c>
      <c r="Q26" s="83">
        <f ca="1">VLOOKUP(C26,Sensitivities!$A$6:$AB$44,17,FALSE)</f>
        <v>440.13049185654381</v>
      </c>
      <c r="R26" s="148">
        <f t="shared" ca="1" si="9"/>
        <v>-85.971315780524151</v>
      </c>
      <c r="T26" s="142" t="str">
        <f t="shared" ca="1" si="10"/>
        <v>Pass</v>
      </c>
      <c r="U26" s="142" t="str">
        <f t="shared" ca="1" si="11"/>
        <v>Pass</v>
      </c>
      <c r="V26" s="142" t="str">
        <f t="shared" ca="1" si="12"/>
        <v>Fail</v>
      </c>
      <c r="W26" s="142" t="str">
        <f t="shared" ca="1" si="13"/>
        <v>Fail</v>
      </c>
      <c r="X26" s="142" t="str">
        <f t="shared" ca="1" si="14"/>
        <v>Fail</v>
      </c>
    </row>
    <row r="27" spans="2:24">
      <c r="B27" s="147" t="s">
        <v>343</v>
      </c>
      <c r="C27" s="300" t="s">
        <v>77</v>
      </c>
      <c r="D27" s="102">
        <f ca="1">IFERROR(VLOOKUP(B27&amp;"_"&amp;C27,'MX Inflation Sensi'!$A$2:$H$500,4,FALSE),0)</f>
        <v>260211.642744927</v>
      </c>
      <c r="E27" s="83">
        <f ca="1">VLOOKUP(C27,Sensitivities!$A$6:$AB$44,7,FALSE)</f>
        <v>260211.64274493675</v>
      </c>
      <c r="F27" s="87">
        <f t="shared" ca="1" si="5"/>
        <v>9.7497832030057907E-9</v>
      </c>
      <c r="G27" s="102">
        <f ca="1">IFERROR(VLOOKUP(B27&amp;"_"&amp;C27,'MX Inflation Sensi'!$A$2:$H$500,6,FALSE),0)</f>
        <v>259658.50800051901</v>
      </c>
      <c r="H27" s="83">
        <f ca="1">VLOOKUP(C27,Sensitivities!$A$6:$AB$44,16,FALSE)</f>
        <v>259658.50800028743</v>
      </c>
      <c r="I27" s="87">
        <f t="shared" ca="1" si="6"/>
        <v>-2.3157917894423008E-7</v>
      </c>
      <c r="J27" s="102">
        <f ca="1">IFERROR(VLOOKUP(B27&amp;"_"&amp;C27,'MX Inflation Sensi'!$A$2:$H$500,5,FALSE),0)</f>
        <v>82058.020529665504</v>
      </c>
      <c r="K27" s="83">
        <f ca="1">VLOOKUP(C27,Sensitivities!$A$6:$AB$44,25,FALSE)</f>
        <v>71515.886435352702</v>
      </c>
      <c r="L27" s="87">
        <f t="shared" ca="1" si="7"/>
        <v>-10542.134094312802</v>
      </c>
      <c r="M27" s="102">
        <f ca="1">IFERROR(VLOOKUP(B27&amp;"_"&amp;C27,'MX Inflation Sensi'!$A$2:$H$500,7,FALSE),0)</f>
        <v>882.86402424761695</v>
      </c>
      <c r="N27" s="83">
        <f ca="1">VLOOKUP(C27,Sensitivities!$A$6:$AB$44,8,FALSE)</f>
        <v>882.51725686437567</v>
      </c>
      <c r="O27" s="87">
        <f t="shared" ca="1" si="8"/>
        <v>-0.34676738324128564</v>
      </c>
      <c r="P27" s="102">
        <f ca="1">IFERROR(VLOOKUP(B27&amp;"_"&amp;C27,'MX Inflation Sensi'!$A$2:$H$500,8,FALSE),0)</f>
        <v>789.33275998662202</v>
      </c>
      <c r="Q27" s="83">
        <f ca="1">VLOOKUP(C27,Sensitivities!$A$6:$AB$44,17,FALSE)</f>
        <v>880.58866934900288</v>
      </c>
      <c r="R27" s="148">
        <f t="shared" ca="1" si="9"/>
        <v>91.255909362380862</v>
      </c>
      <c r="T27" s="142" t="str">
        <f t="shared" ca="1" si="10"/>
        <v>Pass</v>
      </c>
      <c r="U27" s="142" t="str">
        <f t="shared" ca="1" si="11"/>
        <v>Pass</v>
      </c>
      <c r="V27" s="142" t="str">
        <f t="shared" ca="1" si="12"/>
        <v>Fail</v>
      </c>
      <c r="W27" s="142" t="str">
        <f t="shared" ca="1" si="13"/>
        <v>Fail</v>
      </c>
      <c r="X27" s="142" t="str">
        <f t="shared" ca="1" si="14"/>
        <v>Fail</v>
      </c>
    </row>
    <row r="28" spans="2:24" ht="15.75" thickBot="1">
      <c r="B28" s="149" t="s">
        <v>343</v>
      </c>
      <c r="C28" s="301" t="s">
        <v>78</v>
      </c>
      <c r="D28" s="202">
        <f ca="1">IFERROR(VLOOKUP(B28&amp;"_"&amp;C28,'MX Inflation Sensi'!$A$2:$H$500,4,FALSE),0)</f>
        <v>549721.55722722702</v>
      </c>
      <c r="E28" s="150">
        <f ca="1">VLOOKUP(C28,Sensitivities!$A$6:$AB$44,7,FALSE)</f>
        <v>549721.55722722632</v>
      </c>
      <c r="F28" s="203">
        <f t="shared" ca="1" si="5"/>
        <v>0</v>
      </c>
      <c r="G28" s="202">
        <f ca="1">IFERROR(VLOOKUP(B28&amp;"_"&amp;C28,'MX Inflation Sensi'!$A$2:$H$500,6,FALSE),0)</f>
        <v>548786.36341603298</v>
      </c>
      <c r="H28" s="150">
        <f ca="1">VLOOKUP(C28,Sensitivities!$A$6:$AB$44,16,FALSE)</f>
        <v>548786.36341546744</v>
      </c>
      <c r="I28" s="203">
        <f t="shared" ca="1" si="6"/>
        <v>-5.6554563343524933E-7</v>
      </c>
      <c r="J28" s="202">
        <f ca="1">IFERROR(VLOOKUP(B28&amp;"_"&amp;C28,'MX Inflation Sensi'!$A$2:$H$500,5,FALSE),0)</f>
        <v>85048.973065234401</v>
      </c>
      <c r="K28" s="150">
        <f ca="1">VLOOKUP(C28,Sensitivities!$A$6:$AB$44,25,FALSE)</f>
        <v>85048.973065234284</v>
      </c>
      <c r="L28" s="203">
        <f t="shared" ca="1" si="7"/>
        <v>-1.1641532182693481E-10</v>
      </c>
      <c r="M28" s="202">
        <f ca="1">IFERROR(VLOOKUP(B28&amp;"_"&amp;C28,'MX Inflation Sensi'!$A$2:$H$500,7,FALSE),0)</f>
        <v>2610.5877847585398</v>
      </c>
      <c r="N28" s="150">
        <f ca="1">VLOOKUP(C28,Sensitivities!$A$6:$AB$44,8,FALSE)</f>
        <v>2610.5877847584197</v>
      </c>
      <c r="O28" s="203">
        <f t="shared" ca="1" si="8"/>
        <v>-1.2005330063402653E-10</v>
      </c>
      <c r="P28" s="202">
        <f ca="1">IFERROR(VLOOKUP(B28&amp;"_"&amp;C28,'MX Inflation Sensi'!$A$2:$H$500,8,FALSE),0)</f>
        <v>2595.5918677618502</v>
      </c>
      <c r="Q28" s="150">
        <f ca="1">VLOOKUP(C28,Sensitivities!$A$6:$AB$44,17,FALSE)</f>
        <v>2606.0576142829377</v>
      </c>
      <c r="R28" s="153">
        <f t="shared" ca="1" si="9"/>
        <v>10.465746521087567</v>
      </c>
      <c r="T28" s="144" t="str">
        <f t="shared" ca="1" si="10"/>
        <v>Pass</v>
      </c>
      <c r="U28" s="144" t="str">
        <f t="shared" ca="1" si="11"/>
        <v>Pass</v>
      </c>
      <c r="V28" s="144" t="str">
        <f t="shared" ca="1" si="12"/>
        <v>Pass</v>
      </c>
      <c r="W28" s="144" t="str">
        <f t="shared" ca="1" si="13"/>
        <v>Pass</v>
      </c>
      <c r="X28" s="144" t="str">
        <f t="shared" ca="1" si="14"/>
        <v>Fail</v>
      </c>
    </row>
    <row r="29" spans="2:24" ht="15.75" thickBot="1">
      <c r="C29" s="82"/>
      <c r="M29"/>
      <c r="V29" s="139"/>
    </row>
    <row r="30" spans="2:24" ht="15.75" thickBot="1">
      <c r="B30" s="163" t="s">
        <v>255</v>
      </c>
      <c r="C30" s="165" t="s">
        <v>0</v>
      </c>
      <c r="D30" s="204" t="s">
        <v>307</v>
      </c>
      <c r="E30" s="164" t="s">
        <v>306</v>
      </c>
      <c r="F30" s="205" t="s">
        <v>305</v>
      </c>
      <c r="G30" s="204" t="s">
        <v>308</v>
      </c>
      <c r="H30" s="164" t="s">
        <v>309</v>
      </c>
      <c r="I30" s="205" t="s">
        <v>310</v>
      </c>
      <c r="J30" s="204" t="s">
        <v>311</v>
      </c>
      <c r="K30" s="164" t="s">
        <v>312</v>
      </c>
      <c r="L30" s="205" t="s">
        <v>313</v>
      </c>
      <c r="M30" s="204" t="s">
        <v>321</v>
      </c>
      <c r="N30" s="164" t="s">
        <v>322</v>
      </c>
      <c r="O30" s="205" t="s">
        <v>264</v>
      </c>
      <c r="P30" s="164" t="s">
        <v>323</v>
      </c>
      <c r="Q30" s="164" t="s">
        <v>324</v>
      </c>
      <c r="R30" s="165" t="s">
        <v>264</v>
      </c>
      <c r="T30" s="152" t="s">
        <v>303</v>
      </c>
      <c r="U30" s="152" t="s">
        <v>314</v>
      </c>
      <c r="V30" s="152" t="s">
        <v>315</v>
      </c>
      <c r="W30" s="152" t="s">
        <v>304</v>
      </c>
      <c r="X30" s="152" t="s">
        <v>320</v>
      </c>
    </row>
    <row r="31" spans="2:24">
      <c r="B31" s="285" t="s">
        <v>344</v>
      </c>
      <c r="C31" s="300" t="s">
        <v>91</v>
      </c>
      <c r="D31" s="102">
        <f ca="1">IFERROR(VLOOKUP(B31&amp;"_"&amp;C31,'MX Inflation Sensi'!$A$2:$H$500,4,FALSE),0)</f>
        <v>11991.4000715861</v>
      </c>
      <c r="E31" s="83">
        <f ca="1">VLOOKUP(C31,Sensitivities!$A$6:$AB$44,5,FALSE)</f>
        <v>11991.400071586093</v>
      </c>
      <c r="F31" s="87">
        <f t="shared" ref="F31:F45" ca="1" si="15">E31-D31</f>
        <v>0</v>
      </c>
      <c r="G31" s="102">
        <f ca="1">IFERROR(VLOOKUP(B31&amp;"_"&amp;C31,'MX Inflation Sensi'!$A$2:$H$500,6,FALSE),0)</f>
        <v>10091.3006586801</v>
      </c>
      <c r="H31" s="83">
        <f ca="1">VLOOKUP(C31,Sensitivities!$A$6:$AB$44,14,FALSE)</f>
        <v>10091.300658680142</v>
      </c>
      <c r="I31" s="87">
        <f t="shared" ref="I31:I45" ca="1" si="16">H31-G31</f>
        <v>4.1836756281554699E-11</v>
      </c>
      <c r="J31" s="102">
        <f ca="1">IFERROR(VLOOKUP(B31&amp;"_"&amp;C31,'MX Inflation Sensi'!$A$2:$H$500,5,FALSE),0)</f>
        <v>2601901.3722707201</v>
      </c>
      <c r="K31" s="83">
        <f ca="1">VLOOKUP(C31,Sensitivities!$A$6:$AB$44,23,FALSE)</f>
        <v>1037767.2065414188</v>
      </c>
      <c r="L31" s="87">
        <f t="shared" ref="L31:L45" ca="1" si="17">K31-J31</f>
        <v>-1564134.1657293013</v>
      </c>
      <c r="M31" s="102">
        <f ca="1">IFERROR(VLOOKUP(B31&amp;"_"&amp;C31,'MX Inflation Sensi'!$A$2:$H$500,7,FALSE),0)</f>
        <v>-0.57278701688980505</v>
      </c>
      <c r="N31" s="83">
        <f ca="1">VLOOKUP(C31,Sensitivities!$A$6:$AB$44,6,FALSE)</f>
        <v>-0.57274398450499575</v>
      </c>
      <c r="O31" s="87">
        <f t="shared" ref="O31:O45" ca="1" si="18">N31-M31</f>
        <v>4.3032384809293944E-5</v>
      </c>
      <c r="P31" s="102">
        <f ca="1">IFERROR(VLOOKUP(B31&amp;"_"&amp;C31,'MX Inflation Sensi'!$A$2:$H$500,8,FALSE),0)</f>
        <v>-0.57347809913931802</v>
      </c>
      <c r="Q31" s="83">
        <f ca="1">VLOOKUP(C31,Sensitivities!$A$6:$AB$44,15,FALSE)</f>
        <v>-0.68140120663701964</v>
      </c>
      <c r="R31" s="148">
        <f t="shared" ref="R31:R45" ca="1" si="19">Q31-P31</f>
        <v>-0.10792310749770162</v>
      </c>
      <c r="T31" s="142" t="str">
        <f t="shared" ref="T31:T45" ca="1" si="20">IF(ABS(F31)&lt;$F$1,"Pass","Fail")</f>
        <v>Pass</v>
      </c>
      <c r="U31" s="142" t="str">
        <f t="shared" ref="U31:U45" ca="1" si="21">IF(ABS(I31)&lt;$F$1,"Pass","Fail")</f>
        <v>Pass</v>
      </c>
      <c r="V31" s="142" t="str">
        <f t="shared" ref="V31:V45" ca="1" si="22">IF(ABS(L31)&lt;$F$1,"Pass","Fail")</f>
        <v>Fail</v>
      </c>
      <c r="W31" s="142" t="str">
        <f t="shared" ref="W31:W45" ca="1" si="23">IF(ABS(O31)&lt;$F$1,"Pass","Fail")</f>
        <v>Pass</v>
      </c>
      <c r="X31" s="142" t="str">
        <f t="shared" ref="X31:X45" ca="1" si="24">IF(ABS(R31)&lt;$F$1,"Pass","Fail")</f>
        <v>Fail</v>
      </c>
    </row>
    <row r="32" spans="2:24">
      <c r="B32" s="147" t="s">
        <v>344</v>
      </c>
      <c r="C32" s="300" t="s">
        <v>35</v>
      </c>
      <c r="D32" s="102">
        <f ca="1">IFERROR(VLOOKUP(B32&amp;"_"&amp;C32,'MX Inflation Sensi'!$A$2:$H$500,4,FALSE),0)</f>
        <v>0</v>
      </c>
      <c r="E32" s="83">
        <f ca="1">VLOOKUP(C32,Sensitivities!$A$6:$AB$44,5,FALSE)</f>
        <v>0</v>
      </c>
      <c r="F32" s="87">
        <f t="shared" ca="1" si="15"/>
        <v>0</v>
      </c>
      <c r="G32" s="102">
        <f ca="1">IFERROR(VLOOKUP(B32&amp;"_"&amp;C32,'MX Inflation Sensi'!$A$2:$H$500,6,FALSE),0)</f>
        <v>0</v>
      </c>
      <c r="H32" s="83">
        <f ca="1">VLOOKUP(C32,Sensitivities!$A$6:$AB$44,14,FALSE)</f>
        <v>0</v>
      </c>
      <c r="I32" s="87">
        <f t="shared" ca="1" si="16"/>
        <v>0</v>
      </c>
      <c r="J32" s="102">
        <f ca="1">IFERROR(VLOOKUP(B32&amp;"_"&amp;C32,'MX Inflation Sensi'!$A$2:$H$500,5,FALSE),0)</f>
        <v>0</v>
      </c>
      <c r="K32" s="83">
        <f ca="1">VLOOKUP(C32,Sensitivities!$A$6:$AB$44,23,FALSE)</f>
        <v>0</v>
      </c>
      <c r="L32" s="87">
        <f t="shared" ca="1" si="17"/>
        <v>0</v>
      </c>
      <c r="M32" s="102">
        <f ca="1">IFERROR(VLOOKUP(B32&amp;"_"&amp;C32,'MX Inflation Sensi'!$A$2:$H$500,7,FALSE),0)</f>
        <v>0</v>
      </c>
      <c r="N32" s="83">
        <f ca="1">VLOOKUP(C32,Sensitivities!$A$6:$AB$44,6,FALSE)</f>
        <v>0</v>
      </c>
      <c r="O32" s="87">
        <f t="shared" ca="1" si="18"/>
        <v>0</v>
      </c>
      <c r="P32" s="102">
        <f ca="1">IFERROR(VLOOKUP(B32&amp;"_"&amp;C32,'MX Inflation Sensi'!$A$2:$H$500,8,FALSE),0)</f>
        <v>0</v>
      </c>
      <c r="Q32" s="83">
        <f ca="1">VLOOKUP(C32,Sensitivities!$A$6:$AB$44,15,FALSE)</f>
        <v>0</v>
      </c>
      <c r="R32" s="148">
        <f t="shared" ca="1" si="19"/>
        <v>0</v>
      </c>
      <c r="T32" s="142" t="str">
        <f t="shared" ca="1" si="20"/>
        <v>Pass</v>
      </c>
      <c r="U32" s="142" t="str">
        <f t="shared" ca="1" si="21"/>
        <v>Pass</v>
      </c>
      <c r="V32" s="142" t="str">
        <f t="shared" ca="1" si="22"/>
        <v>Pass</v>
      </c>
      <c r="W32" s="142" t="str">
        <f t="shared" ca="1" si="23"/>
        <v>Pass</v>
      </c>
      <c r="X32" s="142" t="str">
        <f t="shared" ca="1" si="24"/>
        <v>Pass</v>
      </c>
    </row>
    <row r="33" spans="2:24">
      <c r="B33" s="147" t="s">
        <v>344</v>
      </c>
      <c r="C33" s="300" t="s">
        <v>36</v>
      </c>
      <c r="D33" s="102">
        <f ca="1">IFERROR(VLOOKUP(B33&amp;"_"&amp;C33,'MX Inflation Sensi'!$A$2:$H$500,4,FALSE),0)</f>
        <v>0</v>
      </c>
      <c r="E33" s="83">
        <f ca="1">VLOOKUP(C33,Sensitivities!$A$6:$AB$44,5,FALSE)</f>
        <v>0</v>
      </c>
      <c r="F33" s="87">
        <f t="shared" ca="1" si="15"/>
        <v>0</v>
      </c>
      <c r="G33" s="102">
        <f ca="1">IFERROR(VLOOKUP(B33&amp;"_"&amp;C33,'MX Inflation Sensi'!$A$2:$H$500,6,FALSE),0)</f>
        <v>0</v>
      </c>
      <c r="H33" s="83">
        <f ca="1">VLOOKUP(C33,Sensitivities!$A$6:$AB$44,14,FALSE)</f>
        <v>0</v>
      </c>
      <c r="I33" s="87">
        <f t="shared" ca="1" si="16"/>
        <v>0</v>
      </c>
      <c r="J33" s="102">
        <f ca="1">IFERROR(VLOOKUP(B33&amp;"_"&amp;C33,'MX Inflation Sensi'!$A$2:$H$500,5,FALSE),0)</f>
        <v>0</v>
      </c>
      <c r="K33" s="83">
        <f ca="1">VLOOKUP(C33,Sensitivities!$A$6:$AB$44,23,FALSE)</f>
        <v>0</v>
      </c>
      <c r="L33" s="87">
        <f t="shared" ca="1" si="17"/>
        <v>0</v>
      </c>
      <c r="M33" s="102">
        <f ca="1">IFERROR(VLOOKUP(B33&amp;"_"&amp;C33,'MX Inflation Sensi'!$A$2:$H$500,7,FALSE),0)</f>
        <v>0</v>
      </c>
      <c r="N33" s="83">
        <f ca="1">VLOOKUP(C33,Sensitivities!$A$6:$AB$44,6,FALSE)</f>
        <v>0</v>
      </c>
      <c r="O33" s="87">
        <f t="shared" ca="1" si="18"/>
        <v>0</v>
      </c>
      <c r="P33" s="102">
        <f ca="1">IFERROR(VLOOKUP(B33&amp;"_"&amp;C33,'MX Inflation Sensi'!$A$2:$H$500,8,FALSE),0)</f>
        <v>0</v>
      </c>
      <c r="Q33" s="83">
        <f ca="1">VLOOKUP(C33,Sensitivities!$A$6:$AB$44,15,FALSE)</f>
        <v>0</v>
      </c>
      <c r="R33" s="148">
        <f t="shared" ca="1" si="19"/>
        <v>0</v>
      </c>
      <c r="T33" s="142" t="str">
        <f t="shared" ca="1" si="20"/>
        <v>Pass</v>
      </c>
      <c r="U33" s="142" t="str">
        <f t="shared" ca="1" si="21"/>
        <v>Pass</v>
      </c>
      <c r="V33" s="142" t="str">
        <f t="shared" ca="1" si="22"/>
        <v>Pass</v>
      </c>
      <c r="W33" s="142" t="str">
        <f t="shared" ca="1" si="23"/>
        <v>Pass</v>
      </c>
      <c r="X33" s="142" t="str">
        <f t="shared" ca="1" si="24"/>
        <v>Pass</v>
      </c>
    </row>
    <row r="34" spans="2:24">
      <c r="B34" s="147" t="s">
        <v>344</v>
      </c>
      <c r="C34" s="300" t="s">
        <v>65</v>
      </c>
      <c r="D34" s="102">
        <f ca="1">IFERROR(VLOOKUP(B34&amp;"_"&amp;C34,'MX Inflation Sensi'!$A$2:$H$500,4,FALSE),0)</f>
        <v>0</v>
      </c>
      <c r="E34" s="83">
        <f ca="1">VLOOKUP(C34,Sensitivities!$A$6:$AB$44,5,FALSE)</f>
        <v>0</v>
      </c>
      <c r="F34" s="87">
        <f t="shared" ca="1" si="15"/>
        <v>0</v>
      </c>
      <c r="G34" s="102">
        <f ca="1">IFERROR(VLOOKUP(B34&amp;"_"&amp;C34,'MX Inflation Sensi'!$A$2:$H$500,6,FALSE),0)</f>
        <v>0</v>
      </c>
      <c r="H34" s="83">
        <f ca="1">VLOOKUP(C34,Sensitivities!$A$6:$AB$44,14,FALSE)</f>
        <v>0</v>
      </c>
      <c r="I34" s="87">
        <f t="shared" ca="1" si="16"/>
        <v>0</v>
      </c>
      <c r="J34" s="102">
        <f ca="1">IFERROR(VLOOKUP(B34&amp;"_"&amp;C34,'MX Inflation Sensi'!$A$2:$H$500,5,FALSE),0)</f>
        <v>0</v>
      </c>
      <c r="K34" s="83">
        <f ca="1">VLOOKUP(C34,Sensitivities!$A$6:$AB$44,23,FALSE)</f>
        <v>0</v>
      </c>
      <c r="L34" s="87">
        <f t="shared" ca="1" si="17"/>
        <v>0</v>
      </c>
      <c r="M34" s="102">
        <f ca="1">IFERROR(VLOOKUP(B34&amp;"_"&amp;C34,'MX Inflation Sensi'!$A$2:$H$500,7,FALSE),0)</f>
        <v>0</v>
      </c>
      <c r="N34" s="83">
        <f ca="1">VLOOKUP(C34,Sensitivities!$A$6:$AB$44,6,FALSE)</f>
        <v>0</v>
      </c>
      <c r="O34" s="87">
        <f t="shared" ca="1" si="18"/>
        <v>0</v>
      </c>
      <c r="P34" s="102">
        <f ca="1">IFERROR(VLOOKUP(B34&amp;"_"&amp;C34,'MX Inflation Sensi'!$A$2:$H$500,8,FALSE),0)</f>
        <v>0</v>
      </c>
      <c r="Q34" s="83">
        <f ca="1">VLOOKUP(C34,Sensitivities!$A$6:$AB$44,15,FALSE)</f>
        <v>0</v>
      </c>
      <c r="R34" s="148">
        <f t="shared" ca="1" si="19"/>
        <v>0</v>
      </c>
      <c r="T34" s="142" t="str">
        <f t="shared" ca="1" si="20"/>
        <v>Pass</v>
      </c>
      <c r="U34" s="142" t="str">
        <f t="shared" ca="1" si="21"/>
        <v>Pass</v>
      </c>
      <c r="V34" s="142" t="str">
        <f t="shared" ca="1" si="22"/>
        <v>Pass</v>
      </c>
      <c r="W34" s="142" t="str">
        <f t="shared" ca="1" si="23"/>
        <v>Pass</v>
      </c>
      <c r="X34" s="142" t="str">
        <f t="shared" ca="1" si="24"/>
        <v>Pass</v>
      </c>
    </row>
    <row r="35" spans="2:24">
      <c r="B35" s="147" t="s">
        <v>344</v>
      </c>
      <c r="C35" s="300" t="s">
        <v>66</v>
      </c>
      <c r="D35" s="102">
        <f ca="1">IFERROR(VLOOKUP(B35&amp;"_"&amp;C35,'MX Inflation Sensi'!$A$2:$H$500,4,FALSE),0)</f>
        <v>51532.339960600701</v>
      </c>
      <c r="E35" s="83">
        <f ca="1">VLOOKUP(C35,Sensitivities!$A$6:$AB$44,5,FALSE)</f>
        <v>51532.33996060073</v>
      </c>
      <c r="F35" s="87">
        <f t="shared" ca="1" si="15"/>
        <v>0</v>
      </c>
      <c r="G35" s="102">
        <f ca="1">IFERROR(VLOOKUP(B35&amp;"_"&amp;C35,'MX Inflation Sensi'!$A$2:$H$500,6,FALSE),0)</f>
        <v>49893.112914881203</v>
      </c>
      <c r="H35" s="83">
        <f ca="1">VLOOKUP(C35,Sensitivities!$A$6:$AB$44,14,FALSE)</f>
        <v>49893.112914881167</v>
      </c>
      <c r="I35" s="87">
        <f t="shared" ca="1" si="16"/>
        <v>0</v>
      </c>
      <c r="J35" s="102">
        <f ca="1">IFERROR(VLOOKUP(B35&amp;"_"&amp;C35,'MX Inflation Sensi'!$A$2:$H$500,5,FALSE),0)</f>
        <v>839056.628718336</v>
      </c>
      <c r="K35" s="83">
        <f ca="1">VLOOKUP(C35,Sensitivities!$A$6:$AB$44,23,FALSE)</f>
        <v>839056.62871833553</v>
      </c>
      <c r="L35" s="87">
        <f t="shared" ca="1" si="17"/>
        <v>0</v>
      </c>
      <c r="M35" s="102">
        <f ca="1">IFERROR(VLOOKUP(B35&amp;"_"&amp;C35,'MX Inflation Sensi'!$A$2:$H$500,7,FALSE),0)</f>
        <v>20.303310252958902</v>
      </c>
      <c r="N35" s="83">
        <f ca="1">VLOOKUP(C35,Sensitivities!$A$6:$AB$44,6,FALSE)</f>
        <v>20.303310252951633</v>
      </c>
      <c r="O35" s="87">
        <f t="shared" ca="1" si="18"/>
        <v>-7.2688521868258249E-12</v>
      </c>
      <c r="P35" s="102">
        <f ca="1">IFERROR(VLOOKUP(B35&amp;"_"&amp;C35,'MX Inflation Sensi'!$A$2:$H$500,8,FALSE),0)</f>
        <v>18.865313320800102</v>
      </c>
      <c r="Q35" s="83">
        <f ca="1">VLOOKUP(C35,Sensitivities!$A$6:$AB$44,15,FALSE)</f>
        <v>19.487974502371799</v>
      </c>
      <c r="R35" s="148">
        <f t="shared" ca="1" si="19"/>
        <v>0.62266118157169714</v>
      </c>
      <c r="T35" s="142" t="str">
        <f t="shared" ca="1" si="20"/>
        <v>Pass</v>
      </c>
      <c r="U35" s="142" t="str">
        <f t="shared" ca="1" si="21"/>
        <v>Pass</v>
      </c>
      <c r="V35" s="142" t="str">
        <f t="shared" ca="1" si="22"/>
        <v>Pass</v>
      </c>
      <c r="W35" s="142" t="str">
        <f t="shared" ca="1" si="23"/>
        <v>Pass</v>
      </c>
      <c r="X35" s="142" t="str">
        <f t="shared" ca="1" si="24"/>
        <v>Fail</v>
      </c>
    </row>
    <row r="36" spans="2:24">
      <c r="B36" s="147" t="s">
        <v>344</v>
      </c>
      <c r="C36" s="300" t="s">
        <v>67</v>
      </c>
      <c r="D36" s="102">
        <f ca="1">IFERROR(VLOOKUP(B36&amp;"_"&amp;C36,'MX Inflation Sensi'!$A$2:$H$500,4,FALSE),0)</f>
        <v>0</v>
      </c>
      <c r="E36" s="83">
        <f ca="1">VLOOKUP(C36,Sensitivities!$A$6:$AB$44,5,FALSE)</f>
        <v>0</v>
      </c>
      <c r="F36" s="87">
        <f t="shared" ca="1" si="15"/>
        <v>0</v>
      </c>
      <c r="G36" s="102">
        <f ca="1">IFERROR(VLOOKUP(B36&amp;"_"&amp;C36,'MX Inflation Sensi'!$A$2:$H$500,6,FALSE),0)</f>
        <v>0</v>
      </c>
      <c r="H36" s="83">
        <f ca="1">VLOOKUP(C36,Sensitivities!$A$6:$AB$44,14,FALSE)</f>
        <v>0</v>
      </c>
      <c r="I36" s="87">
        <f t="shared" ca="1" si="16"/>
        <v>0</v>
      </c>
      <c r="J36" s="102">
        <f ca="1">IFERROR(VLOOKUP(B36&amp;"_"&amp;C36,'MX Inflation Sensi'!$A$2:$H$500,5,FALSE),0)</f>
        <v>0</v>
      </c>
      <c r="K36" s="83">
        <f ca="1">VLOOKUP(C36,Sensitivities!$A$6:$AB$44,23,FALSE)</f>
        <v>0</v>
      </c>
      <c r="L36" s="87">
        <f t="shared" ca="1" si="17"/>
        <v>0</v>
      </c>
      <c r="M36" s="102">
        <f ca="1">IFERROR(VLOOKUP(B36&amp;"_"&amp;C36,'MX Inflation Sensi'!$A$2:$H$500,7,FALSE),0)</f>
        <v>0</v>
      </c>
      <c r="N36" s="83">
        <f ca="1">VLOOKUP(C36,Sensitivities!$A$6:$AB$44,6,FALSE)</f>
        <v>0</v>
      </c>
      <c r="O36" s="87">
        <f t="shared" ca="1" si="18"/>
        <v>0</v>
      </c>
      <c r="P36" s="102">
        <f ca="1">IFERROR(VLOOKUP(B36&amp;"_"&amp;C36,'MX Inflation Sensi'!$A$2:$H$500,8,FALSE),0)</f>
        <v>0</v>
      </c>
      <c r="Q36" s="83">
        <f ca="1">VLOOKUP(C36,Sensitivities!$A$6:$AB$44,15,FALSE)</f>
        <v>0</v>
      </c>
      <c r="R36" s="148">
        <f t="shared" ca="1" si="19"/>
        <v>0</v>
      </c>
      <c r="T36" s="142" t="str">
        <f t="shared" ca="1" si="20"/>
        <v>Pass</v>
      </c>
      <c r="U36" s="142" t="str">
        <f t="shared" ca="1" si="21"/>
        <v>Pass</v>
      </c>
      <c r="V36" s="142" t="str">
        <f t="shared" ca="1" si="22"/>
        <v>Pass</v>
      </c>
      <c r="W36" s="142" t="str">
        <f t="shared" ca="1" si="23"/>
        <v>Pass</v>
      </c>
      <c r="X36" s="142" t="str">
        <f t="shared" ca="1" si="24"/>
        <v>Pass</v>
      </c>
    </row>
    <row r="37" spans="2:24">
      <c r="B37" s="147" t="s">
        <v>344</v>
      </c>
      <c r="C37" s="300" t="s">
        <v>68</v>
      </c>
      <c r="D37" s="102">
        <f ca="1">IFERROR(VLOOKUP(B37&amp;"_"&amp;C37,'MX Inflation Sensi'!$A$2:$H$500,4,FALSE),0)</f>
        <v>0</v>
      </c>
      <c r="E37" s="83">
        <f ca="1">VLOOKUP(C37,Sensitivities!$A$6:$AB$44,5,FALSE)</f>
        <v>0</v>
      </c>
      <c r="F37" s="87">
        <f t="shared" ca="1" si="15"/>
        <v>0</v>
      </c>
      <c r="G37" s="102">
        <f ca="1">IFERROR(VLOOKUP(B37&amp;"_"&amp;C37,'MX Inflation Sensi'!$A$2:$H$500,6,FALSE),0)</f>
        <v>0</v>
      </c>
      <c r="H37" s="83">
        <f ca="1">VLOOKUP(C37,Sensitivities!$A$6:$AB$44,14,FALSE)</f>
        <v>0</v>
      </c>
      <c r="I37" s="87">
        <f t="shared" ca="1" si="16"/>
        <v>0</v>
      </c>
      <c r="J37" s="102">
        <f ca="1">IFERROR(VLOOKUP(B37&amp;"_"&amp;C37,'MX Inflation Sensi'!$A$2:$H$500,5,FALSE),0)</f>
        <v>0</v>
      </c>
      <c r="K37" s="83">
        <f ca="1">VLOOKUP(C37,Sensitivities!$A$6:$AB$44,23,FALSE)</f>
        <v>0</v>
      </c>
      <c r="L37" s="87">
        <f t="shared" ca="1" si="17"/>
        <v>0</v>
      </c>
      <c r="M37" s="102">
        <f ca="1">IFERROR(VLOOKUP(B37&amp;"_"&amp;C37,'MX Inflation Sensi'!$A$2:$H$500,7,FALSE),0)</f>
        <v>0</v>
      </c>
      <c r="N37" s="83">
        <f ca="1">VLOOKUP(C37,Sensitivities!$A$6:$AB$44,6,FALSE)</f>
        <v>0</v>
      </c>
      <c r="O37" s="87">
        <f t="shared" ca="1" si="18"/>
        <v>0</v>
      </c>
      <c r="P37" s="102">
        <f ca="1">IFERROR(VLOOKUP(B37&amp;"_"&amp;C37,'MX Inflation Sensi'!$A$2:$H$500,8,FALSE),0)</f>
        <v>0</v>
      </c>
      <c r="Q37" s="83">
        <f ca="1">VLOOKUP(C37,Sensitivities!$A$6:$AB$44,15,FALSE)</f>
        <v>0</v>
      </c>
      <c r="R37" s="148">
        <f t="shared" ca="1" si="19"/>
        <v>0</v>
      </c>
      <c r="T37" s="142" t="str">
        <f t="shared" ca="1" si="20"/>
        <v>Pass</v>
      </c>
      <c r="U37" s="142" t="str">
        <f t="shared" ca="1" si="21"/>
        <v>Pass</v>
      </c>
      <c r="V37" s="142" t="str">
        <f t="shared" ca="1" si="22"/>
        <v>Pass</v>
      </c>
      <c r="W37" s="142" t="str">
        <f t="shared" ca="1" si="23"/>
        <v>Pass</v>
      </c>
      <c r="X37" s="142" t="str">
        <f t="shared" ca="1" si="24"/>
        <v>Pass</v>
      </c>
    </row>
    <row r="38" spans="2:24">
      <c r="B38" s="147" t="s">
        <v>344</v>
      </c>
      <c r="C38" s="300" t="s">
        <v>69</v>
      </c>
      <c r="D38" s="102">
        <f ca="1">IFERROR(VLOOKUP(B38&amp;"_"&amp;C38,'MX Inflation Sensi'!$A$2:$H$500,4,FALSE),0)</f>
        <v>0</v>
      </c>
      <c r="E38" s="83">
        <f ca="1">VLOOKUP(C38,Sensitivities!$A$6:$AB$44,5,FALSE)</f>
        <v>0</v>
      </c>
      <c r="F38" s="87">
        <f t="shared" ca="1" si="15"/>
        <v>0</v>
      </c>
      <c r="G38" s="102">
        <f ca="1">IFERROR(VLOOKUP(B38&amp;"_"&amp;C38,'MX Inflation Sensi'!$A$2:$H$500,6,FALSE),0)</f>
        <v>0</v>
      </c>
      <c r="H38" s="83">
        <f ca="1">VLOOKUP(C38,Sensitivities!$A$6:$AB$44,14,FALSE)</f>
        <v>0</v>
      </c>
      <c r="I38" s="87">
        <f t="shared" ca="1" si="16"/>
        <v>0</v>
      </c>
      <c r="J38" s="102">
        <f ca="1">IFERROR(VLOOKUP(B38&amp;"_"&amp;C38,'MX Inflation Sensi'!$A$2:$H$500,5,FALSE),0)</f>
        <v>0</v>
      </c>
      <c r="K38" s="83">
        <f ca="1">VLOOKUP(C38,Sensitivities!$A$6:$AB$44,23,FALSE)</f>
        <v>0</v>
      </c>
      <c r="L38" s="87">
        <f t="shared" ca="1" si="17"/>
        <v>0</v>
      </c>
      <c r="M38" s="102">
        <f ca="1">IFERROR(VLOOKUP(B38&amp;"_"&amp;C38,'MX Inflation Sensi'!$A$2:$H$500,7,FALSE),0)</f>
        <v>0</v>
      </c>
      <c r="N38" s="83">
        <f ca="1">VLOOKUP(C38,Sensitivities!$A$6:$AB$44,6,FALSE)</f>
        <v>0</v>
      </c>
      <c r="O38" s="87">
        <f t="shared" ca="1" si="18"/>
        <v>0</v>
      </c>
      <c r="P38" s="102">
        <f ca="1">IFERROR(VLOOKUP(B38&amp;"_"&amp;C38,'MX Inflation Sensi'!$A$2:$H$500,8,FALSE),0)</f>
        <v>0</v>
      </c>
      <c r="Q38" s="83">
        <f ca="1">VLOOKUP(C38,Sensitivities!$A$6:$AB$44,15,FALSE)</f>
        <v>0</v>
      </c>
      <c r="R38" s="148">
        <f t="shared" ca="1" si="19"/>
        <v>0</v>
      </c>
      <c r="T38" s="142" t="str">
        <f t="shared" ca="1" si="20"/>
        <v>Pass</v>
      </c>
      <c r="U38" s="142" t="str">
        <f t="shared" ca="1" si="21"/>
        <v>Pass</v>
      </c>
      <c r="V38" s="142" t="str">
        <f t="shared" ca="1" si="22"/>
        <v>Pass</v>
      </c>
      <c r="W38" s="142" t="str">
        <f t="shared" ca="1" si="23"/>
        <v>Pass</v>
      </c>
      <c r="X38" s="142" t="str">
        <f t="shared" ca="1" si="24"/>
        <v>Pass</v>
      </c>
    </row>
    <row r="39" spans="2:24">
      <c r="B39" s="147" t="s">
        <v>344</v>
      </c>
      <c r="C39" s="300" t="s">
        <v>70</v>
      </c>
      <c r="D39" s="102">
        <f ca="1">IFERROR(VLOOKUP(B39&amp;"_"&amp;C39,'MX Inflation Sensi'!$A$2:$H$500,4,FALSE),0)</f>
        <v>0</v>
      </c>
      <c r="E39" s="83">
        <f ca="1">VLOOKUP(C39,Sensitivities!$A$6:$AB$44,5,FALSE)</f>
        <v>0</v>
      </c>
      <c r="F39" s="87">
        <f t="shared" ca="1" si="15"/>
        <v>0</v>
      </c>
      <c r="G39" s="102">
        <f ca="1">IFERROR(VLOOKUP(B39&amp;"_"&amp;C39,'MX Inflation Sensi'!$A$2:$H$500,6,FALSE),0)</f>
        <v>0</v>
      </c>
      <c r="H39" s="83">
        <f ca="1">VLOOKUP(C39,Sensitivities!$A$6:$AB$44,14,FALSE)</f>
        <v>0</v>
      </c>
      <c r="I39" s="87">
        <f t="shared" ca="1" si="16"/>
        <v>0</v>
      </c>
      <c r="J39" s="102">
        <f ca="1">IFERROR(VLOOKUP(B39&amp;"_"&amp;C39,'MX Inflation Sensi'!$A$2:$H$500,5,FALSE),0)</f>
        <v>0</v>
      </c>
      <c r="K39" s="83">
        <f ca="1">VLOOKUP(C39,Sensitivities!$A$6:$AB$44,23,FALSE)</f>
        <v>0</v>
      </c>
      <c r="L39" s="87">
        <f t="shared" ca="1" si="17"/>
        <v>0</v>
      </c>
      <c r="M39" s="102">
        <f ca="1">IFERROR(VLOOKUP(B39&amp;"_"&amp;C39,'MX Inflation Sensi'!$A$2:$H$500,7,FALSE),0)</f>
        <v>0</v>
      </c>
      <c r="N39" s="83">
        <f ca="1">VLOOKUP(C39,Sensitivities!$A$6:$AB$44,6,FALSE)</f>
        <v>0</v>
      </c>
      <c r="O39" s="87">
        <f t="shared" ca="1" si="18"/>
        <v>0</v>
      </c>
      <c r="P39" s="102">
        <f ca="1">IFERROR(VLOOKUP(B39&amp;"_"&amp;C39,'MX Inflation Sensi'!$A$2:$H$500,8,FALSE),0)</f>
        <v>0</v>
      </c>
      <c r="Q39" s="83">
        <f ca="1">VLOOKUP(C39,Sensitivities!$A$6:$AB$44,15,FALSE)</f>
        <v>0</v>
      </c>
      <c r="R39" s="148">
        <f t="shared" ca="1" si="19"/>
        <v>0</v>
      </c>
      <c r="T39" s="142" t="str">
        <f t="shared" ca="1" si="20"/>
        <v>Pass</v>
      </c>
      <c r="U39" s="142" t="str">
        <f t="shared" ca="1" si="21"/>
        <v>Pass</v>
      </c>
      <c r="V39" s="142" t="str">
        <f t="shared" ca="1" si="22"/>
        <v>Pass</v>
      </c>
      <c r="W39" s="142" t="str">
        <f t="shared" ca="1" si="23"/>
        <v>Pass</v>
      </c>
      <c r="X39" s="142" t="str">
        <f t="shared" ca="1" si="24"/>
        <v>Pass</v>
      </c>
    </row>
    <row r="40" spans="2:24">
      <c r="B40" s="147" t="s">
        <v>344</v>
      </c>
      <c r="C40" s="300" t="s">
        <v>71</v>
      </c>
      <c r="D40" s="102">
        <f ca="1">IFERROR(VLOOKUP(B40&amp;"_"&amp;C40,'MX Inflation Sensi'!$A$2:$H$500,4,FALSE),0)</f>
        <v>0</v>
      </c>
      <c r="E40" s="83">
        <f ca="1">VLOOKUP(C40,Sensitivities!$A$6:$AB$44,5,FALSE)</f>
        <v>0</v>
      </c>
      <c r="F40" s="87">
        <f t="shared" ca="1" si="15"/>
        <v>0</v>
      </c>
      <c r="G40" s="102">
        <f ca="1">IFERROR(VLOOKUP(B40&amp;"_"&amp;C40,'MX Inflation Sensi'!$A$2:$H$500,6,FALSE),0)</f>
        <v>0</v>
      </c>
      <c r="H40" s="83">
        <f ca="1">VLOOKUP(C40,Sensitivities!$A$6:$AB$44,14,FALSE)</f>
        <v>0</v>
      </c>
      <c r="I40" s="87">
        <f t="shared" ca="1" si="16"/>
        <v>0</v>
      </c>
      <c r="J40" s="102">
        <f ca="1">IFERROR(VLOOKUP(B40&amp;"_"&amp;C40,'MX Inflation Sensi'!$A$2:$H$500,5,FALSE),0)</f>
        <v>0</v>
      </c>
      <c r="K40" s="83">
        <f ca="1">VLOOKUP(C40,Sensitivities!$A$6:$AB$44,23,FALSE)</f>
        <v>0</v>
      </c>
      <c r="L40" s="87">
        <f t="shared" ca="1" si="17"/>
        <v>0</v>
      </c>
      <c r="M40" s="102">
        <f ca="1">IFERROR(VLOOKUP(B40&amp;"_"&amp;C40,'MX Inflation Sensi'!$A$2:$H$500,7,FALSE),0)</f>
        <v>0</v>
      </c>
      <c r="N40" s="83">
        <f ca="1">VLOOKUP(C40,Sensitivities!$A$6:$AB$44,6,FALSE)</f>
        <v>0</v>
      </c>
      <c r="O40" s="87">
        <f t="shared" ca="1" si="18"/>
        <v>0</v>
      </c>
      <c r="P40" s="102">
        <f ca="1">IFERROR(VLOOKUP(B40&amp;"_"&amp;C40,'MX Inflation Sensi'!$A$2:$H$500,8,FALSE),0)</f>
        <v>0</v>
      </c>
      <c r="Q40" s="83">
        <f ca="1">VLOOKUP(C40,Sensitivities!$A$6:$AB$44,15,FALSE)</f>
        <v>0</v>
      </c>
      <c r="R40" s="148">
        <f t="shared" ca="1" si="19"/>
        <v>0</v>
      </c>
      <c r="T40" s="142" t="str">
        <f t="shared" ca="1" si="20"/>
        <v>Pass</v>
      </c>
      <c r="U40" s="142" t="str">
        <f t="shared" ca="1" si="21"/>
        <v>Pass</v>
      </c>
      <c r="V40" s="142" t="str">
        <f t="shared" ca="1" si="22"/>
        <v>Pass</v>
      </c>
      <c r="W40" s="142" t="str">
        <f t="shared" ca="1" si="23"/>
        <v>Pass</v>
      </c>
      <c r="X40" s="142" t="str">
        <f t="shared" ca="1" si="24"/>
        <v>Pass</v>
      </c>
    </row>
    <row r="41" spans="2:24">
      <c r="B41" s="147" t="s">
        <v>344</v>
      </c>
      <c r="C41" s="300" t="s">
        <v>72</v>
      </c>
      <c r="D41" s="102">
        <f ca="1">IFERROR(VLOOKUP(B41&amp;"_"&amp;C41,'MX Inflation Sensi'!$A$2:$H$500,4,FALSE),0)</f>
        <v>-13310.7394478808</v>
      </c>
      <c r="E41" s="83">
        <f ca="1">VLOOKUP(C41,Sensitivities!$A$6:$AB$44,5,FALSE)</f>
        <v>-13310.739447880842</v>
      </c>
      <c r="F41" s="87">
        <f t="shared" ca="1" si="15"/>
        <v>-4.1836756281554699E-11</v>
      </c>
      <c r="G41" s="102">
        <f ca="1">IFERROR(VLOOKUP(B41&amp;"_"&amp;C41,'MX Inflation Sensi'!$A$2:$H$500,6,FALSE),0)</f>
        <v>-13133.438525158601</v>
      </c>
      <c r="H41" s="83">
        <f ca="1">VLOOKUP(C41,Sensitivities!$A$6:$AB$44,14,FALSE)</f>
        <v>-13133.438525158632</v>
      </c>
      <c r="I41" s="87">
        <f t="shared" ca="1" si="16"/>
        <v>-3.092281986027956E-11</v>
      </c>
      <c r="J41" s="102">
        <f ca="1">IFERROR(VLOOKUP(B41&amp;"_"&amp;C41,'MX Inflation Sensi'!$A$2:$H$500,5,FALSE),0)</f>
        <v>-73106.390177540598</v>
      </c>
      <c r="K41" s="83">
        <f ca="1">VLOOKUP(C41,Sensitivities!$A$6:$AB$44,23,FALSE)</f>
        <v>-77022.715026526974</v>
      </c>
      <c r="L41" s="87">
        <f t="shared" ca="1" si="17"/>
        <v>-3916.3248489863763</v>
      </c>
      <c r="M41" s="102">
        <f ca="1">IFERROR(VLOOKUP(B41&amp;"_"&amp;C41,'MX Inflation Sensi'!$A$2:$H$500,7,FALSE),0)</f>
        <v>-17.827895990337598</v>
      </c>
      <c r="N41" s="83">
        <f ca="1">VLOOKUP(C41,Sensitivities!$A$6:$AB$44,6,FALSE)</f>
        <v>-17.827549341971462</v>
      </c>
      <c r="O41" s="87">
        <f t="shared" ca="1" si="18"/>
        <v>3.4664836613629291E-4</v>
      </c>
      <c r="P41" s="102">
        <f ca="1">IFERROR(VLOOKUP(B41&amp;"_"&amp;C41,'MX Inflation Sensi'!$A$2:$H$500,8,FALSE),0)</f>
        <v>-21.503727593869598</v>
      </c>
      <c r="Q41" s="83">
        <f ca="1">VLOOKUP(C41,Sensitivities!$A$6:$AB$44,15,FALSE)</f>
        <v>-17.571929306195671</v>
      </c>
      <c r="R41" s="148">
        <f t="shared" ca="1" si="19"/>
        <v>3.9317982876739279</v>
      </c>
      <c r="T41" s="142" t="str">
        <f t="shared" ca="1" si="20"/>
        <v>Pass</v>
      </c>
      <c r="U41" s="142" t="str">
        <f t="shared" ca="1" si="21"/>
        <v>Pass</v>
      </c>
      <c r="V41" s="142" t="str">
        <f t="shared" ca="1" si="22"/>
        <v>Fail</v>
      </c>
      <c r="W41" s="142" t="str">
        <f t="shared" ca="1" si="23"/>
        <v>Fail</v>
      </c>
      <c r="X41" s="142" t="str">
        <f t="shared" ca="1" si="24"/>
        <v>Fail</v>
      </c>
    </row>
    <row r="42" spans="2:24">
      <c r="B42" s="147" t="s">
        <v>344</v>
      </c>
      <c r="C42" s="300" t="s">
        <v>73</v>
      </c>
      <c r="D42" s="102">
        <f ca="1">IFERROR(VLOOKUP(B42&amp;"_"&amp;C42,'MX Inflation Sensi'!$A$2:$H$500,4,FALSE),0)</f>
        <v>-132997.890422864</v>
      </c>
      <c r="E42" s="83">
        <f ca="1">VLOOKUP(C42,Sensitivities!$A$6:$AB$44,5,FALSE)</f>
        <v>-132997.89042286429</v>
      </c>
      <c r="F42" s="87">
        <f t="shared" ca="1" si="15"/>
        <v>-2.9103830456733704E-10</v>
      </c>
      <c r="G42" s="102">
        <f ca="1">IFERROR(VLOOKUP(B42&amp;"_"&amp;C42,'MX Inflation Sensi'!$A$2:$H$500,6,FALSE),0)</f>
        <v>-131579.42963499701</v>
      </c>
      <c r="H42" s="83">
        <f ca="1">VLOOKUP(C42,Sensitivities!$A$6:$AB$44,14,FALSE)</f>
        <v>-131579.42963499689</v>
      </c>
      <c r="I42" s="87">
        <f t="shared" ca="1" si="16"/>
        <v>0</v>
      </c>
      <c r="J42" s="102">
        <f ca="1">IFERROR(VLOOKUP(B42&amp;"_"&amp;C42,'MX Inflation Sensi'!$A$2:$H$500,5,FALSE),0)</f>
        <v>-577718.790671297</v>
      </c>
      <c r="K42" s="83">
        <f ca="1">VLOOKUP(C42,Sensitivities!$A$6:$AB$44,23,FALSE)</f>
        <v>-573146.78521251096</v>
      </c>
      <c r="L42" s="87">
        <f t="shared" ca="1" si="17"/>
        <v>4572.0054587860359</v>
      </c>
      <c r="M42" s="102">
        <f ca="1">IFERROR(VLOOKUP(B42&amp;"_"&amp;C42,'MX Inflation Sensi'!$A$2:$H$500,7,FALSE),0)</f>
        <v>-178.14087333383199</v>
      </c>
      <c r="N42" s="83">
        <f ca="1">VLOOKUP(C42,Sensitivities!$A$6:$AB$44,6,FALSE)</f>
        <v>-178.13956858043093</v>
      </c>
      <c r="O42" s="87">
        <f t="shared" ca="1" si="18"/>
        <v>1.3047534010581785E-3</v>
      </c>
      <c r="P42" s="102">
        <f ca="1">IFERROR(VLOOKUP(B42&amp;"_"&amp;C42,'MX Inflation Sensi'!$A$2:$H$500,8,FALSE),0)</f>
        <v>-169.93189610765299</v>
      </c>
      <c r="Q42" s="83">
        <f ca="1">VLOOKUP(C42,Sensitivities!$A$6:$AB$44,15,FALSE)</f>
        <v>-176.0946793204057</v>
      </c>
      <c r="R42" s="148">
        <f t="shared" ca="1" si="19"/>
        <v>-6.1627832127527142</v>
      </c>
      <c r="T42" s="142" t="str">
        <f t="shared" ca="1" si="20"/>
        <v>Pass</v>
      </c>
      <c r="U42" s="142" t="str">
        <f t="shared" ca="1" si="21"/>
        <v>Pass</v>
      </c>
      <c r="V42" s="142" t="str">
        <f t="shared" ca="1" si="22"/>
        <v>Fail</v>
      </c>
      <c r="W42" s="142" t="str">
        <f t="shared" ca="1" si="23"/>
        <v>Fail</v>
      </c>
      <c r="X42" s="142" t="str">
        <f t="shared" ca="1" si="24"/>
        <v>Fail</v>
      </c>
    </row>
    <row r="43" spans="2:24">
      <c r="B43" s="147" t="s">
        <v>344</v>
      </c>
      <c r="C43" s="300" t="s">
        <v>74</v>
      </c>
      <c r="D43" s="102">
        <f ca="1">IFERROR(VLOOKUP(B43&amp;"_"&amp;C43,'MX Inflation Sensi'!$A$2:$H$500,4,FALSE),0)</f>
        <v>116507.22548013</v>
      </c>
      <c r="E43" s="83">
        <f ca="1">VLOOKUP(C43,Sensitivities!$A$6:$AB$44,5,FALSE)</f>
        <v>116507.22548013018</v>
      </c>
      <c r="F43" s="87">
        <f t="shared" ca="1" si="15"/>
        <v>1.7462298274040222E-10</v>
      </c>
      <c r="G43" s="102">
        <f ca="1">IFERROR(VLOOKUP(B43&amp;"_"&amp;C43,'MX Inflation Sensi'!$A$2:$H$500,6,FALSE),0)</f>
        <v>115574.61083506</v>
      </c>
      <c r="H43" s="83">
        <f ca="1">VLOOKUP(C43,Sensitivities!$A$6:$AB$44,14,FALSE)</f>
        <v>115574.61083506049</v>
      </c>
      <c r="I43" s="87">
        <f t="shared" ca="1" si="16"/>
        <v>4.9476511776447296E-10</v>
      </c>
      <c r="J43" s="102">
        <f ca="1">IFERROR(VLOOKUP(B43&amp;"_"&amp;C43,'MX Inflation Sensi'!$A$2:$H$500,5,FALSE),0)</f>
        <v>308433.01041515998</v>
      </c>
      <c r="K43" s="83">
        <f ca="1">VLOOKUP(C43,Sensitivities!$A$6:$AB$44,23,FALSE)</f>
        <v>334844.45849164005</v>
      </c>
      <c r="L43" s="87">
        <f t="shared" ca="1" si="17"/>
        <v>26411.448076480068</v>
      </c>
      <c r="M43" s="102">
        <f ca="1">IFERROR(VLOOKUP(B43&amp;"_"&amp;C43,'MX Inflation Sensi'!$A$2:$H$500,7,FALSE),0)</f>
        <v>254.69271340427599</v>
      </c>
      <c r="N43" s="83">
        <f ca="1">VLOOKUP(C43,Sensitivities!$A$6:$AB$44,6,FALSE)</f>
        <v>254.74846462756977</v>
      </c>
      <c r="O43" s="87">
        <f t="shared" ca="1" si="18"/>
        <v>5.5751223293782459E-2</v>
      </c>
      <c r="P43" s="102">
        <f ca="1">IFERROR(VLOOKUP(B43&amp;"_"&amp;C43,'MX Inflation Sensi'!$A$2:$H$500,8,FALSE),0)</f>
        <v>292.78080596551501</v>
      </c>
      <c r="Q43" s="83">
        <f ca="1">VLOOKUP(C43,Sensitivities!$A$6:$AB$44,15,FALSE)</f>
        <v>252.61400398085243</v>
      </c>
      <c r="R43" s="148">
        <f t="shared" ca="1" si="19"/>
        <v>-40.166801984662584</v>
      </c>
      <c r="T43" s="142" t="str">
        <f t="shared" ca="1" si="20"/>
        <v>Pass</v>
      </c>
      <c r="U43" s="142" t="str">
        <f t="shared" ca="1" si="21"/>
        <v>Pass</v>
      </c>
      <c r="V43" s="142" t="str">
        <f t="shared" ca="1" si="22"/>
        <v>Fail</v>
      </c>
      <c r="W43" s="142" t="str">
        <f t="shared" ca="1" si="23"/>
        <v>Fail</v>
      </c>
      <c r="X43" s="142" t="str">
        <f t="shared" ca="1" si="24"/>
        <v>Fail</v>
      </c>
    </row>
    <row r="44" spans="2:24">
      <c r="B44" s="147" t="s">
        <v>344</v>
      </c>
      <c r="C44" s="300" t="s">
        <v>75</v>
      </c>
      <c r="D44" s="102">
        <f ca="1">IFERROR(VLOOKUP(B44&amp;"_"&amp;C44,'MX Inflation Sensi'!$A$2:$H$500,4,FALSE),0)</f>
        <v>577034.30452246801</v>
      </c>
      <c r="E44" s="83">
        <f ca="1">VLOOKUP(C44,Sensitivities!$A$6:$AB$44,5,FALSE)</f>
        <v>577034.30452246848</v>
      </c>
      <c r="F44" s="87">
        <f t="shared" ca="1" si="15"/>
        <v>0</v>
      </c>
      <c r="G44" s="102">
        <f ca="1">IFERROR(VLOOKUP(B44&amp;"_"&amp;C44,'MX Inflation Sensi'!$A$2:$H$500,6,FALSE),0)</f>
        <v>573336.55124712898</v>
      </c>
      <c r="H44" s="83">
        <f ca="1">VLOOKUP(C44,Sensitivities!$A$6:$AB$44,14,FALSE)</f>
        <v>573336.55124712922</v>
      </c>
      <c r="I44" s="87">
        <f t="shared" ca="1" si="16"/>
        <v>0</v>
      </c>
      <c r="J44" s="102">
        <f ca="1">IFERROR(VLOOKUP(B44&amp;"_"&amp;C44,'MX Inflation Sensi'!$A$2:$H$500,5,FALSE),0)</f>
        <v>1197501.4063466301</v>
      </c>
      <c r="K44" s="83">
        <f ca="1">VLOOKUP(C44,Sensitivities!$A$6:$AB$44,23,FALSE)</f>
        <v>1172691.3299685384</v>
      </c>
      <c r="L44" s="87">
        <f t="shared" ca="1" si="17"/>
        <v>-24810.076378091704</v>
      </c>
      <c r="M44" s="102">
        <f ca="1">IFERROR(VLOOKUP(B44&amp;"_"&amp;C44,'MX Inflation Sensi'!$A$2:$H$500,7,FALSE),0)</f>
        <v>1308.7299270764099</v>
      </c>
      <c r="N44" s="83">
        <f ca="1">VLOOKUP(C44,Sensitivities!$A$6:$AB$44,6,FALSE)</f>
        <v>1308.6439283303916</v>
      </c>
      <c r="O44" s="87">
        <f t="shared" ca="1" si="18"/>
        <v>-8.5998746018276506E-2</v>
      </c>
      <c r="P44" s="102">
        <f ca="1">IFERROR(VLOOKUP(B44&amp;"_"&amp;C44,'MX Inflation Sensi'!$A$2:$H$500,8,FALSE),0)</f>
        <v>1247.6994026841101</v>
      </c>
      <c r="Q44" s="83">
        <f ca="1">VLOOKUP(C44,Sensitivities!$A$6:$AB$44,15,FALSE)</f>
        <v>1299.8806922731455</v>
      </c>
      <c r="R44" s="148">
        <f t="shared" ca="1" si="19"/>
        <v>52.181289589035487</v>
      </c>
      <c r="T44" s="142" t="str">
        <f t="shared" ca="1" si="20"/>
        <v>Pass</v>
      </c>
      <c r="U44" s="142" t="str">
        <f t="shared" ca="1" si="21"/>
        <v>Pass</v>
      </c>
      <c r="V44" s="142" t="str">
        <f t="shared" ca="1" si="22"/>
        <v>Fail</v>
      </c>
      <c r="W44" s="142" t="str">
        <f t="shared" ca="1" si="23"/>
        <v>Fail</v>
      </c>
      <c r="X44" s="142" t="str">
        <f t="shared" ca="1" si="24"/>
        <v>Fail</v>
      </c>
    </row>
    <row r="45" spans="2:24" ht="15.75" thickBot="1">
      <c r="B45" s="149" t="s">
        <v>344</v>
      </c>
      <c r="C45" s="301" t="s">
        <v>76</v>
      </c>
      <c r="D45" s="202">
        <f ca="1">IFERROR(VLOOKUP(B45&amp;"_"&amp;C45,'MX Inflation Sensi'!$A$2:$H$500,4,FALSE),0)</f>
        <v>0</v>
      </c>
      <c r="E45" s="150">
        <f ca="1">VLOOKUP(C45,Sensitivities!$A$6:$AB$44,5,FALSE)</f>
        <v>0</v>
      </c>
      <c r="F45" s="203">
        <f t="shared" ca="1" si="15"/>
        <v>0</v>
      </c>
      <c r="G45" s="202">
        <f ca="1">IFERROR(VLOOKUP(B45&amp;"_"&amp;C45,'MX Inflation Sensi'!$A$2:$H$500,6,FALSE),0)</f>
        <v>0</v>
      </c>
      <c r="H45" s="150">
        <f ca="1">VLOOKUP(C45,Sensitivities!$A$6:$AB$44,14,FALSE)</f>
        <v>0</v>
      </c>
      <c r="I45" s="203">
        <f t="shared" ca="1" si="16"/>
        <v>0</v>
      </c>
      <c r="J45" s="202">
        <f ca="1">IFERROR(VLOOKUP(B45&amp;"_"&amp;C45,'MX Inflation Sensi'!$A$2:$H$500,5,FALSE),0)</f>
        <v>0</v>
      </c>
      <c r="K45" s="150">
        <f ca="1">VLOOKUP(C45,Sensitivities!$A$6:$AB$44,23,FALSE)</f>
        <v>0</v>
      </c>
      <c r="L45" s="203">
        <f t="shared" ca="1" si="17"/>
        <v>0</v>
      </c>
      <c r="M45" s="202">
        <f ca="1">IFERROR(VLOOKUP(B45&amp;"_"&amp;C45,'MX Inflation Sensi'!$A$2:$H$500,7,FALSE),0)</f>
        <v>0</v>
      </c>
      <c r="N45" s="150">
        <f ca="1">VLOOKUP(C45,Sensitivities!$A$6:$AB$44,6,FALSE)</f>
        <v>0</v>
      </c>
      <c r="O45" s="203">
        <f t="shared" ca="1" si="18"/>
        <v>0</v>
      </c>
      <c r="P45" s="202">
        <f ca="1">IFERROR(VLOOKUP(B45&amp;"_"&amp;C45,'MX Inflation Sensi'!$A$2:$H$500,8,FALSE),0)</f>
        <v>0</v>
      </c>
      <c r="Q45" s="150">
        <f ca="1">VLOOKUP(C45,Sensitivities!$A$6:$AB$44,15,FALSE)</f>
        <v>0</v>
      </c>
      <c r="R45" s="153">
        <f t="shared" ca="1" si="19"/>
        <v>0</v>
      </c>
      <c r="T45" s="144" t="str">
        <f t="shared" ca="1" si="20"/>
        <v>Pass</v>
      </c>
      <c r="U45" s="144" t="str">
        <f t="shared" ca="1" si="21"/>
        <v>Pass</v>
      </c>
      <c r="V45" s="144" t="str">
        <f t="shared" ca="1" si="22"/>
        <v>Pass</v>
      </c>
      <c r="W45" s="144" t="str">
        <f t="shared" ca="1" si="23"/>
        <v>Pass</v>
      </c>
      <c r="X45" s="144" t="str">
        <f t="shared" ca="1" si="24"/>
        <v>Pass</v>
      </c>
    </row>
    <row r="46" spans="2:24" ht="15.75" thickBot="1">
      <c r="B46" s="178"/>
      <c r="C46" s="178"/>
      <c r="D46" s="178"/>
      <c r="E46" s="178"/>
      <c r="F46" s="178"/>
      <c r="M46" s="178"/>
      <c r="N46" s="178"/>
      <c r="O46" s="178"/>
      <c r="P46" s="178"/>
      <c r="T46" s="178"/>
      <c r="U46" s="178"/>
      <c r="V46" s="178"/>
    </row>
    <row r="47" spans="2:24" ht="15.75" thickBot="1">
      <c r="B47" s="163" t="s">
        <v>255</v>
      </c>
      <c r="C47" s="165" t="s">
        <v>0</v>
      </c>
      <c r="D47" s="204" t="s">
        <v>307</v>
      </c>
      <c r="E47" s="164" t="s">
        <v>306</v>
      </c>
      <c r="F47" s="205" t="s">
        <v>305</v>
      </c>
      <c r="G47" s="204" t="s">
        <v>308</v>
      </c>
      <c r="H47" s="164" t="s">
        <v>309</v>
      </c>
      <c r="I47" s="205" t="s">
        <v>310</v>
      </c>
      <c r="J47" s="204" t="s">
        <v>311</v>
      </c>
      <c r="K47" s="164" t="s">
        <v>312</v>
      </c>
      <c r="L47" s="205" t="s">
        <v>313</v>
      </c>
      <c r="M47" s="204" t="s">
        <v>321</v>
      </c>
      <c r="N47" s="164" t="s">
        <v>322</v>
      </c>
      <c r="O47" s="205" t="s">
        <v>264</v>
      </c>
      <c r="P47" s="164" t="s">
        <v>323</v>
      </c>
      <c r="Q47" s="164" t="s">
        <v>324</v>
      </c>
      <c r="R47" s="165" t="s">
        <v>264</v>
      </c>
      <c r="T47" s="152" t="s">
        <v>303</v>
      </c>
      <c r="U47" s="152" t="s">
        <v>314</v>
      </c>
      <c r="V47" s="152" t="s">
        <v>315</v>
      </c>
      <c r="W47" s="152" t="s">
        <v>304</v>
      </c>
      <c r="X47" s="152" t="s">
        <v>320</v>
      </c>
    </row>
    <row r="48" spans="2:24">
      <c r="B48" s="285" t="s">
        <v>342</v>
      </c>
      <c r="C48" s="300" t="s">
        <v>91</v>
      </c>
      <c r="D48" s="102">
        <f ca="1">IFERROR(VLOOKUP(B48&amp;"_"&amp;C48,'MX Inflation Sensi'!$A$2:$H$500,4,FALSE),0)</f>
        <v>-25499.124634869899</v>
      </c>
      <c r="E48" s="83">
        <f ca="1">VLOOKUP(C48,Sensitivities!$A$6:$AB$44,3,FALSE)</f>
        <v>-31220.145588554326</v>
      </c>
      <c r="F48" s="87">
        <f t="shared" ref="F48:F62" ca="1" si="25">E48-D48</f>
        <v>-5721.0209536844268</v>
      </c>
      <c r="G48" s="102">
        <f ca="1">IFERROR(VLOOKUP(B48&amp;"_"&amp;C48,'MX Inflation Sensi'!$A$2:$H$500,6,FALSE),0)</f>
        <v>-22676.4282664887</v>
      </c>
      <c r="H48" s="83">
        <f ca="1">VLOOKUP(C48,Sensitivities!$A$6:$AB$44,12,FALSE)</f>
        <v>-28047.307590703862</v>
      </c>
      <c r="I48" s="87">
        <f t="shared" ref="I48:I62" ca="1" si="26">H48-G48</f>
        <v>-5370.8793242151623</v>
      </c>
      <c r="J48" s="102">
        <f ca="1">IFERROR(VLOOKUP(B48&amp;"_"&amp;C48,'MX Inflation Sensi'!$A$2:$H$500,5,FALSE),0)</f>
        <v>-2085010.2400859999</v>
      </c>
      <c r="K48" s="83">
        <f ca="1">VLOOKUP(C48,Sensitivities!$A$6:$AB$44,21,FALSE)</f>
        <v>-2454069.7111544833</v>
      </c>
      <c r="L48" s="87">
        <f t="shared" ref="L48:L62" ca="1" si="27">K48-J48</f>
        <v>-369059.47106848331</v>
      </c>
      <c r="M48" s="102">
        <f ca="1">IFERROR(VLOOKUP(B48&amp;"_"&amp;C48,'MX Inflation Sensi'!$A$2:$H$500,7,FALSE),0)</f>
        <v>0.75595688075659995</v>
      </c>
      <c r="N48" s="83">
        <f ca="1">VLOOKUP(C48,Sensitivities!$A$6:$AB$44,4,FALSE)</f>
        <v>0.74733581455075182</v>
      </c>
      <c r="O48" s="87">
        <f t="shared" ref="O48:O62" ca="1" si="28">N48-M48</f>
        <v>-8.6210662058481269E-3</v>
      </c>
      <c r="P48" s="102">
        <f ca="1">IFERROR(VLOOKUP(B48&amp;"_"&amp;C48,'MX Inflation Sensi'!$A$2:$H$500,8,FALSE),0)</f>
        <v>1.01253486234518</v>
      </c>
      <c r="Q48" s="83">
        <f ca="1">VLOOKUP(C48,Sensitivities!$A$6:$AB$44,13,FALSE)</f>
        <v>1.0700647634548659</v>
      </c>
      <c r="R48" s="148">
        <f t="shared" ref="R48:R62" ca="1" si="29">Q48-P48</f>
        <v>5.7529901109685921E-2</v>
      </c>
      <c r="T48" s="142" t="str">
        <f t="shared" ref="T48:T62" ca="1" si="30">IF(ABS(F48)&lt;$F$1,"Pass","Fail")</f>
        <v>Fail</v>
      </c>
      <c r="U48" s="142" t="str">
        <f t="shared" ref="U48:U62" ca="1" si="31">IF(ABS(I48)&lt;$F$1,"Pass","Fail")</f>
        <v>Fail</v>
      </c>
      <c r="V48" s="142" t="str">
        <f t="shared" ref="V48:V62" ca="1" si="32">IF(ABS(L48)&lt;$F$1,"Pass","Fail")</f>
        <v>Fail</v>
      </c>
      <c r="W48" s="142" t="str">
        <f t="shared" ref="W48:W62" ca="1" si="33">IF(ABS(O48)&lt;$F$1,"Pass","Fail")</f>
        <v>Fail</v>
      </c>
      <c r="X48" s="142" t="str">
        <f t="shared" ref="X48:X62" ca="1" si="34">IF(ABS(R48)&lt;$F$1,"Pass","Fail")</f>
        <v>Fail</v>
      </c>
    </row>
    <row r="49" spans="2:24">
      <c r="B49" s="147" t="s">
        <v>342</v>
      </c>
      <c r="C49" s="300" t="s">
        <v>35</v>
      </c>
      <c r="D49" s="102">
        <f ca="1">IFERROR(VLOOKUP(B49&amp;"_"&amp;C49,'MX Inflation Sensi'!$A$2:$H$500,4,FALSE),0)</f>
        <v>151945.904541606</v>
      </c>
      <c r="E49" s="83">
        <f ca="1">VLOOKUP(C49,Sensitivities!$A$6:$AB$44,3,FALSE)</f>
        <v>102871.99998006952</v>
      </c>
      <c r="F49" s="87">
        <f t="shared" ca="1" si="25"/>
        <v>-49073.904561536474</v>
      </c>
      <c r="G49" s="102">
        <f ca="1">IFERROR(VLOOKUP(B49&amp;"_"&amp;C49,'MX Inflation Sensi'!$A$2:$H$500,6,FALSE),0)</f>
        <v>148643.69200339299</v>
      </c>
      <c r="H49" s="83">
        <f ca="1">VLOOKUP(C49,Sensitivities!$A$6:$AB$44,12,FALSE)</f>
        <v>100733.91669660766</v>
      </c>
      <c r="I49" s="87">
        <f t="shared" ca="1" si="26"/>
        <v>-47909.775306785334</v>
      </c>
      <c r="J49" s="102">
        <f ca="1">IFERROR(VLOOKUP(B49&amp;"_"&amp;C49,'MX Inflation Sensi'!$A$2:$H$500,5,FALSE),0)</f>
        <v>6055809.9487367403</v>
      </c>
      <c r="K49" s="83">
        <f ca="1">VLOOKUP(C49,Sensitivities!$A$6:$AB$44,21,FALSE)</f>
        <v>4130710.3890430122</v>
      </c>
      <c r="L49" s="87">
        <f t="shared" ca="1" si="27"/>
        <v>-1925099.5596937281</v>
      </c>
      <c r="M49" s="102">
        <f ca="1">IFERROR(VLOOKUP(B49&amp;"_"&amp;C49,'MX Inflation Sensi'!$A$2:$H$500,7,FALSE),0)</f>
        <v>25.495698749791199</v>
      </c>
      <c r="N49" s="83">
        <f ca="1">VLOOKUP(C49,Sensitivities!$A$6:$AB$44,4,FALSE)</f>
        <v>17.889068535805563</v>
      </c>
      <c r="O49" s="87">
        <f t="shared" ca="1" si="28"/>
        <v>-7.6066302139856354</v>
      </c>
      <c r="P49" s="102">
        <f ca="1">IFERROR(VLOOKUP(B49&amp;"_"&amp;C49,'MX Inflation Sensi'!$A$2:$H$500,8,FALSE),0)</f>
        <v>32.587842109361702</v>
      </c>
      <c r="Q49" s="83">
        <f ca="1">VLOOKUP(C49,Sensitivities!$A$6:$AB$44,13,FALSE)</f>
        <v>17.049185340132681</v>
      </c>
      <c r="R49" s="148">
        <f t="shared" ca="1" si="29"/>
        <v>-15.538656769229021</v>
      </c>
      <c r="T49" s="142" t="str">
        <f t="shared" ca="1" si="30"/>
        <v>Fail</v>
      </c>
      <c r="U49" s="142" t="str">
        <f t="shared" ca="1" si="31"/>
        <v>Fail</v>
      </c>
      <c r="V49" s="142" t="str">
        <f t="shared" ca="1" si="32"/>
        <v>Fail</v>
      </c>
      <c r="W49" s="142" t="str">
        <f t="shared" ca="1" si="33"/>
        <v>Fail</v>
      </c>
      <c r="X49" s="142" t="str">
        <f t="shared" ca="1" si="34"/>
        <v>Fail</v>
      </c>
    </row>
    <row r="50" spans="2:24">
      <c r="B50" s="147" t="s">
        <v>342</v>
      </c>
      <c r="C50" s="300" t="s">
        <v>36</v>
      </c>
      <c r="D50" s="102">
        <f ca="1">IFERROR(VLOOKUP(B50&amp;"_"&amp;C50,'MX Inflation Sensi'!$A$2:$H$500,4,FALSE),0)</f>
        <v>824836.93100890995</v>
      </c>
      <c r="E50" s="83">
        <f ca="1">VLOOKUP(C50,Sensitivities!$A$6:$AB$44,3,FALSE)</f>
        <v>578370.17525100685</v>
      </c>
      <c r="F50" s="87">
        <f t="shared" ca="1" si="25"/>
        <v>-246466.7557579031</v>
      </c>
      <c r="G50" s="102">
        <f ca="1">IFERROR(VLOOKUP(B50&amp;"_"&amp;C50,'MX Inflation Sensi'!$A$2:$H$500,6,FALSE),0)</f>
        <v>796015.80258498294</v>
      </c>
      <c r="H50" s="83">
        <f ca="1">VLOOKUP(C50,Sensitivities!$A$6:$AB$44,12,FALSE)</f>
        <v>558160.99150714232</v>
      </c>
      <c r="I50" s="87">
        <f t="shared" ca="1" si="26"/>
        <v>-237854.81107784063</v>
      </c>
      <c r="J50" s="102">
        <f ca="1">IFERROR(VLOOKUP(B50&amp;"_"&amp;C50,'MX Inflation Sensi'!$A$2:$H$500,5,FALSE),0)</f>
        <v>21298551.456165899</v>
      </c>
      <c r="K50" s="83">
        <f ca="1">VLOOKUP(C50,Sensitivities!$A$6:$AB$44,21,FALSE)</f>
        <v>14809456.164460311</v>
      </c>
      <c r="L50" s="87">
        <f t="shared" ca="1" si="27"/>
        <v>-6489095.2917055879</v>
      </c>
      <c r="M50" s="102">
        <f ca="1">IFERROR(VLOOKUP(B50&amp;"_"&amp;C50,'MX Inflation Sensi'!$A$2:$H$500,7,FALSE),0)</f>
        <v>146.27802594494901</v>
      </c>
      <c r="N50" s="83">
        <f ca="1">VLOOKUP(C50,Sensitivities!$A$6:$AB$44,4,FALSE)</f>
        <v>102.49631089274772</v>
      </c>
      <c r="O50" s="87">
        <f t="shared" ca="1" si="28"/>
        <v>-43.781715052201292</v>
      </c>
      <c r="P50" s="102">
        <f ca="1">IFERROR(VLOOKUP(B50&amp;"_"&amp;C50,'MX Inflation Sensi'!$A$2:$H$500,8,FALSE),0)</f>
        <v>124.802461942232</v>
      </c>
      <c r="Q50" s="83">
        <f ca="1">VLOOKUP(C50,Sensitivities!$A$6:$AB$44,13,FALSE)</f>
        <v>97.22975033451803</v>
      </c>
      <c r="R50" s="148">
        <f t="shared" ca="1" si="29"/>
        <v>-27.57271160771397</v>
      </c>
      <c r="T50" s="142" t="str">
        <f t="shared" ca="1" si="30"/>
        <v>Fail</v>
      </c>
      <c r="U50" s="142" t="str">
        <f t="shared" ca="1" si="31"/>
        <v>Fail</v>
      </c>
      <c r="V50" s="142" t="str">
        <f t="shared" ca="1" si="32"/>
        <v>Fail</v>
      </c>
      <c r="W50" s="142" t="str">
        <f t="shared" ca="1" si="33"/>
        <v>Fail</v>
      </c>
      <c r="X50" s="142" t="str">
        <f t="shared" ca="1" si="34"/>
        <v>Fail</v>
      </c>
    </row>
    <row r="51" spans="2:24">
      <c r="B51" s="147" t="s">
        <v>342</v>
      </c>
      <c r="C51" s="300" t="s">
        <v>65</v>
      </c>
      <c r="D51" s="102">
        <f ca="1">IFERROR(VLOOKUP(B51&amp;"_"&amp;C51,'MX Inflation Sensi'!$A$2:$H$500,4,FALSE),0)</f>
        <v>1.5409481113299999E-9</v>
      </c>
      <c r="E51" s="83">
        <f ca="1">VLOOKUP(C51,Sensitivities!$A$6:$AB$44,3,FALSE)</f>
        <v>3.5494319234495624E-17</v>
      </c>
      <c r="F51" s="87">
        <f t="shared" ca="1" si="25"/>
        <v>-1.5409480758356807E-9</v>
      </c>
      <c r="G51" s="102">
        <f ca="1">IFERROR(VLOOKUP(B51&amp;"_"&amp;C51,'MX Inflation Sensi'!$A$2:$H$500,6,FALSE),0)</f>
        <v>0</v>
      </c>
      <c r="H51" s="83">
        <f ca="1">VLOOKUP(C51,Sensitivities!$A$6:$AB$44,12,FALSE)</f>
        <v>0</v>
      </c>
      <c r="I51" s="87">
        <f t="shared" ca="1" si="26"/>
        <v>0</v>
      </c>
      <c r="J51" s="102">
        <f ca="1">IFERROR(VLOOKUP(B51&amp;"_"&amp;C51,'MX Inflation Sensi'!$A$2:$H$500,5,FALSE),0)</f>
        <v>0</v>
      </c>
      <c r="K51" s="83">
        <f ca="1">VLOOKUP(C51,Sensitivities!$A$6:$AB$44,21,FALSE)</f>
        <v>0</v>
      </c>
      <c r="L51" s="87">
        <f t="shared" ca="1" si="27"/>
        <v>0</v>
      </c>
      <c r="M51" s="102">
        <f ca="1">IFERROR(VLOOKUP(B51&amp;"_"&amp;C51,'MX Inflation Sensi'!$A$2:$H$500,7,FALSE),0)</f>
        <v>0</v>
      </c>
      <c r="N51" s="83">
        <f ca="1">VLOOKUP(C51,Sensitivities!$A$6:$AB$44,4,FALSE)</f>
        <v>7.5057708586929385E-20</v>
      </c>
      <c r="O51" s="87">
        <f t="shared" ca="1" si="28"/>
        <v>7.5057708586929385E-20</v>
      </c>
      <c r="P51" s="102">
        <f ca="1">IFERROR(VLOOKUP(B51&amp;"_"&amp;C51,'MX Inflation Sensi'!$A$2:$H$500,8,FALSE),0)</f>
        <v>0</v>
      </c>
      <c r="Q51" s="83">
        <f ca="1">VLOOKUP(C51,Sensitivities!$A$6:$AB$44,13,FALSE)</f>
        <v>0</v>
      </c>
      <c r="R51" s="148">
        <f t="shared" ca="1" si="29"/>
        <v>0</v>
      </c>
      <c r="T51" s="142" t="str">
        <f t="shared" ca="1" si="30"/>
        <v>Pass</v>
      </c>
      <c r="U51" s="142" t="str">
        <f t="shared" ca="1" si="31"/>
        <v>Pass</v>
      </c>
      <c r="V51" s="142" t="str">
        <f t="shared" ca="1" si="32"/>
        <v>Pass</v>
      </c>
      <c r="W51" s="142" t="str">
        <f t="shared" ca="1" si="33"/>
        <v>Pass</v>
      </c>
      <c r="X51" s="142" t="str">
        <f t="shared" ca="1" si="34"/>
        <v>Pass</v>
      </c>
    </row>
    <row r="52" spans="2:24">
      <c r="B52" s="147" t="s">
        <v>342</v>
      </c>
      <c r="C52" s="300" t="s">
        <v>66</v>
      </c>
      <c r="D52" s="102">
        <f ca="1">IFERROR(VLOOKUP(B52&amp;"_"&amp;C52,'MX Inflation Sensi'!$A$2:$H$500,4,FALSE),0)</f>
        <v>-2.5765417911861998E-7</v>
      </c>
      <c r="E52" s="83">
        <f ca="1">VLOOKUP(C52,Sensitivities!$A$6:$AB$44,3,FALSE)</f>
        <v>-5.934826499659889E-15</v>
      </c>
      <c r="F52" s="87">
        <f t="shared" ca="1" si="25"/>
        <v>2.5765417318379347E-7</v>
      </c>
      <c r="G52" s="102">
        <f ca="1">IFERROR(VLOOKUP(B52&amp;"_"&amp;C52,'MX Inflation Sensi'!$A$2:$H$500,6,FALSE),0)</f>
        <v>0</v>
      </c>
      <c r="H52" s="83">
        <f ca="1">VLOOKUP(C52,Sensitivities!$A$6:$AB$44,12,FALSE)</f>
        <v>0</v>
      </c>
      <c r="I52" s="87">
        <f t="shared" ca="1" si="26"/>
        <v>0</v>
      </c>
      <c r="J52" s="102">
        <f ca="1">IFERROR(VLOOKUP(B52&amp;"_"&amp;C52,'MX Inflation Sensi'!$A$2:$H$500,5,FALSE),0)</f>
        <v>0</v>
      </c>
      <c r="K52" s="83">
        <f ca="1">VLOOKUP(C52,Sensitivities!$A$6:$AB$44,21,FALSE)</f>
        <v>0</v>
      </c>
      <c r="L52" s="87">
        <f t="shared" ca="1" si="27"/>
        <v>0</v>
      </c>
      <c r="M52" s="102">
        <f ca="1">IFERROR(VLOOKUP(B52&amp;"_"&amp;C52,'MX Inflation Sensi'!$A$2:$H$500,7,FALSE),0)</f>
        <v>-2.1920726461000001E-10</v>
      </c>
      <c r="N52" s="83">
        <f ca="1">VLOOKUP(C52,Sensitivities!$A$6:$AB$44,4,FALSE)</f>
        <v>-1.2591349965311643E-17</v>
      </c>
      <c r="O52" s="87">
        <f t="shared" ca="1" si="28"/>
        <v>2.1920725201865006E-10</v>
      </c>
      <c r="P52" s="102">
        <f ca="1">IFERROR(VLOOKUP(B52&amp;"_"&amp;C52,'MX Inflation Sensi'!$A$2:$H$500,8,FALSE),0)</f>
        <v>0</v>
      </c>
      <c r="Q52" s="83">
        <f ca="1">VLOOKUP(C52,Sensitivities!$A$6:$AB$44,13,FALSE)</f>
        <v>0</v>
      </c>
      <c r="R52" s="148">
        <f t="shared" ca="1" si="29"/>
        <v>0</v>
      </c>
      <c r="T52" s="142" t="str">
        <f t="shared" ca="1" si="30"/>
        <v>Pass</v>
      </c>
      <c r="U52" s="142" t="str">
        <f t="shared" ca="1" si="31"/>
        <v>Pass</v>
      </c>
      <c r="V52" s="142" t="str">
        <f t="shared" ca="1" si="32"/>
        <v>Pass</v>
      </c>
      <c r="W52" s="142" t="str">
        <f t="shared" ca="1" si="33"/>
        <v>Pass</v>
      </c>
      <c r="X52" s="142" t="str">
        <f t="shared" ca="1" si="34"/>
        <v>Pass</v>
      </c>
    </row>
    <row r="53" spans="2:24">
      <c r="B53" s="147" t="s">
        <v>342</v>
      </c>
      <c r="C53" s="300" t="s">
        <v>67</v>
      </c>
      <c r="D53" s="102">
        <f ca="1">IFERROR(VLOOKUP(B53&amp;"_"&amp;C53,'MX Inflation Sensi'!$A$2:$H$500,4,FALSE),0)</f>
        <v>4.1374630025905402E-5</v>
      </c>
      <c r="E53" s="83">
        <f ca="1">VLOOKUP(C53,Sensitivities!$A$6:$AB$44,3,FALSE)</f>
        <v>9.5302646179211697E-13</v>
      </c>
      <c r="F53" s="87">
        <f t="shared" ca="1" si="25"/>
        <v>-4.137462907287894E-5</v>
      </c>
      <c r="G53" s="102">
        <f ca="1">IFERROR(VLOOKUP(B53&amp;"_"&amp;C53,'MX Inflation Sensi'!$A$2:$H$500,6,FALSE),0)</f>
        <v>0</v>
      </c>
      <c r="H53" s="83">
        <f ca="1">VLOOKUP(C53,Sensitivities!$A$6:$AB$44,12,FALSE)</f>
        <v>0</v>
      </c>
      <c r="I53" s="87">
        <f t="shared" ca="1" si="26"/>
        <v>0</v>
      </c>
      <c r="J53" s="102">
        <f ca="1">IFERROR(VLOOKUP(B53&amp;"_"&amp;C53,'MX Inflation Sensi'!$A$2:$H$500,5,FALSE),0)</f>
        <v>0</v>
      </c>
      <c r="K53" s="83">
        <f ca="1">VLOOKUP(C53,Sensitivities!$A$6:$AB$44,21,FALSE)</f>
        <v>0</v>
      </c>
      <c r="L53" s="87">
        <f t="shared" ca="1" si="27"/>
        <v>0</v>
      </c>
      <c r="M53" s="102">
        <f ca="1">IFERROR(VLOOKUP(B53&amp;"_"&amp;C53,'MX Inflation Sensi'!$A$2:$H$500,7,FALSE),0)</f>
        <v>4.1863776121199997E-8</v>
      </c>
      <c r="N53" s="83">
        <f ca="1">VLOOKUP(C53,Sensitivities!$A$6:$AB$44,4,FALSE)</f>
        <v>2.0285428830281932E-15</v>
      </c>
      <c r="O53" s="87">
        <f t="shared" ca="1" si="28"/>
        <v>-4.1863774092657117E-8</v>
      </c>
      <c r="P53" s="102">
        <f ca="1">IFERROR(VLOOKUP(B53&amp;"_"&amp;C53,'MX Inflation Sensi'!$A$2:$H$500,8,FALSE),0)</f>
        <v>0</v>
      </c>
      <c r="Q53" s="83">
        <f ca="1">VLOOKUP(C53,Sensitivities!$A$6:$AB$44,13,FALSE)</f>
        <v>0</v>
      </c>
      <c r="R53" s="148">
        <f t="shared" ca="1" si="29"/>
        <v>0</v>
      </c>
      <c r="T53" s="142" t="str">
        <f t="shared" ca="1" si="30"/>
        <v>Pass</v>
      </c>
      <c r="U53" s="142" t="str">
        <f t="shared" ca="1" si="31"/>
        <v>Pass</v>
      </c>
      <c r="V53" s="142" t="str">
        <f t="shared" ca="1" si="32"/>
        <v>Pass</v>
      </c>
      <c r="W53" s="142" t="str">
        <f t="shared" ca="1" si="33"/>
        <v>Pass</v>
      </c>
      <c r="X53" s="142" t="str">
        <f t="shared" ca="1" si="34"/>
        <v>Pass</v>
      </c>
    </row>
    <row r="54" spans="2:24">
      <c r="B54" s="147" t="s">
        <v>342</v>
      </c>
      <c r="C54" s="300" t="s">
        <v>68</v>
      </c>
      <c r="D54" s="102">
        <f ca="1">IFERROR(VLOOKUP(B54&amp;"_"&amp;C54,'MX Inflation Sensi'!$A$2:$H$500,4,FALSE),0)</f>
        <v>-6.2553042235346896E-3</v>
      </c>
      <c r="E54" s="83">
        <f ca="1">VLOOKUP(C54,Sensitivities!$A$6:$AB$44,3,FALSE)</f>
        <v>-1.4408516308208573E-10</v>
      </c>
      <c r="F54" s="87">
        <f t="shared" ca="1" si="25"/>
        <v>6.2553040794495265E-3</v>
      </c>
      <c r="G54" s="102">
        <f ca="1">IFERROR(VLOOKUP(B54&amp;"_"&amp;C54,'MX Inflation Sensi'!$A$2:$H$500,6,FALSE),0)</f>
        <v>0</v>
      </c>
      <c r="H54" s="83">
        <f ca="1">VLOOKUP(C54,Sensitivities!$A$6:$AB$44,12,FALSE)</f>
        <v>0</v>
      </c>
      <c r="I54" s="87">
        <f t="shared" ca="1" si="26"/>
        <v>0</v>
      </c>
      <c r="J54" s="102">
        <f ca="1">IFERROR(VLOOKUP(B54&amp;"_"&amp;C54,'MX Inflation Sensi'!$A$2:$H$500,5,FALSE),0)</f>
        <v>0</v>
      </c>
      <c r="K54" s="83">
        <f ca="1">VLOOKUP(C54,Sensitivities!$A$6:$AB$44,21,FALSE)</f>
        <v>0</v>
      </c>
      <c r="L54" s="87">
        <f t="shared" ca="1" si="27"/>
        <v>0</v>
      </c>
      <c r="M54" s="102">
        <f ca="1">IFERROR(VLOOKUP(B54&amp;"_"&amp;C54,'MX Inflation Sensi'!$A$2:$H$500,7,FALSE),0)</f>
        <v>-6.3556937481441004E-6</v>
      </c>
      <c r="N54" s="83">
        <f ca="1">VLOOKUP(C54,Sensitivities!$A$6:$AB$44,4,FALSE)</f>
        <v>-3.0771658484944096E-13</v>
      </c>
      <c r="O54" s="87">
        <f t="shared" ca="1" si="28"/>
        <v>6.3556934404275152E-6</v>
      </c>
      <c r="P54" s="102">
        <f ca="1">IFERROR(VLOOKUP(B54&amp;"_"&amp;C54,'MX Inflation Sensi'!$A$2:$H$500,8,FALSE),0)</f>
        <v>0</v>
      </c>
      <c r="Q54" s="83">
        <f ca="1">VLOOKUP(C54,Sensitivities!$A$6:$AB$44,13,FALSE)</f>
        <v>0</v>
      </c>
      <c r="R54" s="148">
        <f t="shared" ca="1" si="29"/>
        <v>0</v>
      </c>
      <c r="T54" s="142" t="str">
        <f t="shared" ca="1" si="30"/>
        <v>Fail</v>
      </c>
      <c r="U54" s="142" t="str">
        <f t="shared" ca="1" si="31"/>
        <v>Pass</v>
      </c>
      <c r="V54" s="142" t="str">
        <f t="shared" ca="1" si="32"/>
        <v>Pass</v>
      </c>
      <c r="W54" s="142" t="str">
        <f t="shared" ca="1" si="33"/>
        <v>Pass</v>
      </c>
      <c r="X54" s="142" t="str">
        <f t="shared" ca="1" si="34"/>
        <v>Pass</v>
      </c>
    </row>
    <row r="55" spans="2:24">
      <c r="B55" s="147" t="s">
        <v>342</v>
      </c>
      <c r="C55" s="300" t="s">
        <v>69</v>
      </c>
      <c r="D55" s="102">
        <f ca="1">IFERROR(VLOOKUP(B55&amp;"_"&amp;C55,'MX Inflation Sensi'!$A$2:$H$500,4,FALSE),0)</f>
        <v>0.956654191667489</v>
      </c>
      <c r="E55" s="83">
        <f ca="1">VLOOKUP(C55,Sensitivities!$A$6:$AB$44,3,FALSE)</f>
        <v>2.2035646915615801E-8</v>
      </c>
      <c r="F55" s="87">
        <f t="shared" ca="1" si="25"/>
        <v>-0.95665416963184213</v>
      </c>
      <c r="G55" s="102">
        <f ca="1">IFERROR(VLOOKUP(B55&amp;"_"&amp;C55,'MX Inflation Sensi'!$A$2:$H$500,6,FALSE),0)</f>
        <v>0</v>
      </c>
      <c r="H55" s="83">
        <f ca="1">VLOOKUP(C55,Sensitivities!$A$6:$AB$44,12,FALSE)</f>
        <v>0</v>
      </c>
      <c r="I55" s="87">
        <f t="shared" ca="1" si="26"/>
        <v>0</v>
      </c>
      <c r="J55" s="102">
        <f ca="1">IFERROR(VLOOKUP(B55&amp;"_"&amp;C55,'MX Inflation Sensi'!$A$2:$H$500,5,FALSE),0)</f>
        <v>0</v>
      </c>
      <c r="K55" s="83">
        <f ca="1">VLOOKUP(C55,Sensitivities!$A$6:$AB$44,21,FALSE)</f>
        <v>0</v>
      </c>
      <c r="L55" s="87">
        <f t="shared" ca="1" si="27"/>
        <v>0</v>
      </c>
      <c r="M55" s="102">
        <f ca="1">IFERROR(VLOOKUP(B55&amp;"_"&amp;C55,'MX Inflation Sensi'!$A$2:$H$500,7,FALSE),0)</f>
        <v>9.7851745234113106E-4</v>
      </c>
      <c r="N55" s="83">
        <f ca="1">VLOOKUP(C55,Sensitivities!$A$6:$AB$44,4,FALSE)</f>
        <v>4.72126800997454E-11</v>
      </c>
      <c r="O55" s="87">
        <f t="shared" ca="1" si="28"/>
        <v>-9.785174051284509E-4</v>
      </c>
      <c r="P55" s="102">
        <f ca="1">IFERROR(VLOOKUP(B55&amp;"_"&amp;C55,'MX Inflation Sensi'!$A$2:$H$500,8,FALSE),0)</f>
        <v>0</v>
      </c>
      <c r="Q55" s="83">
        <f ca="1">VLOOKUP(C55,Sensitivities!$A$6:$AB$44,13,FALSE)</f>
        <v>0</v>
      </c>
      <c r="R55" s="148">
        <f t="shared" ca="1" si="29"/>
        <v>0</v>
      </c>
      <c r="T55" s="142" t="str">
        <f t="shared" ca="1" si="30"/>
        <v>Fail</v>
      </c>
      <c r="U55" s="142" t="str">
        <f t="shared" ca="1" si="31"/>
        <v>Pass</v>
      </c>
      <c r="V55" s="142" t="str">
        <f t="shared" ca="1" si="32"/>
        <v>Pass</v>
      </c>
      <c r="W55" s="142" t="str">
        <f t="shared" ca="1" si="33"/>
        <v>Fail</v>
      </c>
      <c r="X55" s="142" t="str">
        <f t="shared" ca="1" si="34"/>
        <v>Pass</v>
      </c>
    </row>
    <row r="56" spans="2:24">
      <c r="B56" s="147" t="s">
        <v>342</v>
      </c>
      <c r="C56" s="300" t="s">
        <v>70</v>
      </c>
      <c r="D56" s="102">
        <f ca="1">IFERROR(VLOOKUP(B56&amp;"_"&amp;C56,'MX Inflation Sensi'!$A$2:$H$500,4,FALSE),0)</f>
        <v>-144.07127897713099</v>
      </c>
      <c r="E56" s="83">
        <f ca="1">VLOOKUP(C56,Sensitivities!$A$6:$AB$44,3,FALSE)</f>
        <v>-3.3185490239020021E-6</v>
      </c>
      <c r="F56" s="87">
        <f t="shared" ca="1" si="25"/>
        <v>144.07127565858195</v>
      </c>
      <c r="G56" s="102">
        <f ca="1">IFERROR(VLOOKUP(B56&amp;"_"&amp;C56,'MX Inflation Sensi'!$A$2:$H$500,6,FALSE),0)</f>
        <v>0</v>
      </c>
      <c r="H56" s="83">
        <f ca="1">VLOOKUP(C56,Sensitivities!$A$6:$AB$44,12,FALSE)</f>
        <v>0</v>
      </c>
      <c r="I56" s="87">
        <f t="shared" ca="1" si="26"/>
        <v>0</v>
      </c>
      <c r="J56" s="102">
        <f ca="1">IFERROR(VLOOKUP(B56&amp;"_"&amp;C56,'MX Inflation Sensi'!$A$2:$H$500,5,FALSE),0)</f>
        <v>0</v>
      </c>
      <c r="K56" s="83">
        <f ca="1">VLOOKUP(C56,Sensitivities!$A$6:$AB$44,21,FALSE)</f>
        <v>0</v>
      </c>
      <c r="L56" s="87">
        <f t="shared" ca="1" si="27"/>
        <v>0</v>
      </c>
      <c r="M56" s="102">
        <f ca="1">IFERROR(VLOOKUP(B56&amp;"_"&amp;C56,'MX Inflation Sensi'!$A$2:$H$500,7,FALSE),0)</f>
        <v>-0.14834626053293001</v>
      </c>
      <c r="N56" s="83">
        <f ca="1">VLOOKUP(C56,Sensitivities!$A$6:$AB$44,4,FALSE)</f>
        <v>-7.1330493976936493E-9</v>
      </c>
      <c r="O56" s="87">
        <f t="shared" ca="1" si="28"/>
        <v>0.14834625339988061</v>
      </c>
      <c r="P56" s="102">
        <f ca="1">IFERROR(VLOOKUP(B56&amp;"_"&amp;C56,'MX Inflation Sensi'!$A$2:$H$500,8,FALSE),0)</f>
        <v>0</v>
      </c>
      <c r="Q56" s="83">
        <f ca="1">VLOOKUP(C56,Sensitivities!$A$6:$AB$44,13,FALSE)</f>
        <v>0</v>
      </c>
      <c r="R56" s="148">
        <f t="shared" ca="1" si="29"/>
        <v>0</v>
      </c>
      <c r="T56" s="142" t="str">
        <f t="shared" ca="1" si="30"/>
        <v>Fail</v>
      </c>
      <c r="U56" s="142" t="str">
        <f t="shared" ca="1" si="31"/>
        <v>Pass</v>
      </c>
      <c r="V56" s="142" t="str">
        <f t="shared" ca="1" si="32"/>
        <v>Pass</v>
      </c>
      <c r="W56" s="142" t="str">
        <f t="shared" ca="1" si="33"/>
        <v>Fail</v>
      </c>
      <c r="X56" s="142" t="str">
        <f t="shared" ca="1" si="34"/>
        <v>Pass</v>
      </c>
    </row>
    <row r="57" spans="2:24">
      <c r="B57" s="147" t="s">
        <v>342</v>
      </c>
      <c r="C57" s="300" t="s">
        <v>71</v>
      </c>
      <c r="D57" s="102">
        <f ca="1">IFERROR(VLOOKUP(B57&amp;"_"&amp;C57,'MX Inflation Sensi'!$A$2:$H$500,4,FALSE),0)</f>
        <v>21432.068632336701</v>
      </c>
      <c r="E57" s="83">
        <f ca="1">VLOOKUP(C57,Sensitivities!$A$6:$AB$44,3,FALSE)</f>
        <v>4.9366793260256976E-4</v>
      </c>
      <c r="F57" s="87">
        <f t="shared" ca="1" si="25"/>
        <v>-21432.068138668768</v>
      </c>
      <c r="G57" s="102">
        <f ca="1">IFERROR(VLOOKUP(B57&amp;"_"&amp;C57,'MX Inflation Sensi'!$A$2:$H$500,6,FALSE),0)</f>
        <v>21396.936200723601</v>
      </c>
      <c r="H57" s="83">
        <f ca="1">VLOOKUP(C57,Sensitivities!$A$6:$AB$44,12,FALSE)</f>
        <v>0</v>
      </c>
      <c r="I57" s="87">
        <f t="shared" ca="1" si="26"/>
        <v>-21396.936200723601</v>
      </c>
      <c r="J57" s="102">
        <f ca="1">IFERROR(VLOOKUP(B57&amp;"_"&amp;C57,'MX Inflation Sensi'!$A$2:$H$500,5,FALSE),0)</f>
        <v>137244.72606956901</v>
      </c>
      <c r="K57" s="83">
        <f ca="1">VLOOKUP(C57,Sensitivities!$A$6:$AB$44,21,FALSE)</f>
        <v>0</v>
      </c>
      <c r="L57" s="87">
        <f t="shared" ca="1" si="27"/>
        <v>-137244.72606956901</v>
      </c>
      <c r="M57" s="102">
        <f ca="1">IFERROR(VLOOKUP(B57&amp;"_"&amp;C57,'MX Inflation Sensi'!$A$2:$H$500,7,FALSE),0)</f>
        <v>22.2146410621835</v>
      </c>
      <c r="N57" s="83">
        <f ca="1">VLOOKUP(C57,Sensitivities!$A$6:$AB$44,4,FALSE)</f>
        <v>1.064507942438492E-6</v>
      </c>
      <c r="O57" s="87">
        <f t="shared" ca="1" si="28"/>
        <v>-22.214639997675558</v>
      </c>
      <c r="P57" s="102">
        <f ca="1">IFERROR(VLOOKUP(B57&amp;"_"&amp;C57,'MX Inflation Sensi'!$A$2:$H$500,8,FALSE),0)</f>
        <v>25.445319148661</v>
      </c>
      <c r="Q57" s="83">
        <f ca="1">VLOOKUP(C57,Sensitivities!$A$6:$AB$44,13,FALSE)</f>
        <v>0</v>
      </c>
      <c r="R57" s="148">
        <f t="shared" ca="1" si="29"/>
        <v>-25.445319148661</v>
      </c>
      <c r="T57" s="142" t="str">
        <f t="shared" ca="1" si="30"/>
        <v>Fail</v>
      </c>
      <c r="U57" s="142" t="str">
        <f t="shared" ca="1" si="31"/>
        <v>Fail</v>
      </c>
      <c r="V57" s="142" t="str">
        <f t="shared" ca="1" si="32"/>
        <v>Fail</v>
      </c>
      <c r="W57" s="142" t="str">
        <f t="shared" ca="1" si="33"/>
        <v>Fail</v>
      </c>
      <c r="X57" s="142" t="str">
        <f t="shared" ca="1" si="34"/>
        <v>Fail</v>
      </c>
    </row>
    <row r="58" spans="2:24">
      <c r="B58" s="147" t="s">
        <v>342</v>
      </c>
      <c r="C58" s="300" t="s">
        <v>72</v>
      </c>
      <c r="D58" s="102">
        <f ca="1">IFERROR(VLOOKUP(B58&amp;"_"&amp;C58,'MX Inflation Sensi'!$A$2:$H$500,4,FALSE),0)</f>
        <v>98145.949024814399</v>
      </c>
      <c r="E58" s="83">
        <f ca="1">VLOOKUP(C58,Sensitivities!$A$6:$AB$44,3,FALSE)</f>
        <v>-0.1587994887627146</v>
      </c>
      <c r="F58" s="87">
        <f t="shared" ca="1" si="25"/>
        <v>-98146.107824303166</v>
      </c>
      <c r="G58" s="102">
        <f ca="1">IFERROR(VLOOKUP(B58&amp;"_"&amp;C58,'MX Inflation Sensi'!$A$2:$H$500,6,FALSE),0)</f>
        <v>97105.677672850899</v>
      </c>
      <c r="H58" s="83">
        <f ca="1">VLOOKUP(C58,Sensitivities!$A$6:$AB$44,12,FALSE)</f>
        <v>0</v>
      </c>
      <c r="I58" s="87">
        <f t="shared" ca="1" si="26"/>
        <v>-97105.677672850899</v>
      </c>
      <c r="J58" s="102">
        <f ca="1">IFERROR(VLOOKUP(B58&amp;"_"&amp;C58,'MX Inflation Sensi'!$A$2:$H$500,5,FALSE),0)</f>
        <v>518756.69503621099</v>
      </c>
      <c r="K58" s="83">
        <f ca="1">VLOOKUP(C58,Sensitivities!$A$6:$AB$44,21,FALSE)</f>
        <v>0</v>
      </c>
      <c r="L58" s="87">
        <f t="shared" ca="1" si="27"/>
        <v>-518756.69503621099</v>
      </c>
      <c r="M58" s="102">
        <f ca="1">IFERROR(VLOOKUP(B58&amp;"_"&amp;C58,'MX Inflation Sensi'!$A$2:$H$500,7,FALSE),0)</f>
        <v>101.737194091774</v>
      </c>
      <c r="N58" s="83">
        <f ca="1">VLOOKUP(C58,Sensitivities!$A$6:$AB$44,4,FALSE)</f>
        <v>-3.4351778655439258E-4</v>
      </c>
      <c r="O58" s="87">
        <f t="shared" ca="1" si="28"/>
        <v>-101.73753760956056</v>
      </c>
      <c r="P58" s="102">
        <f ca="1">IFERROR(VLOOKUP(B58&amp;"_"&amp;C58,'MX Inflation Sensi'!$A$2:$H$500,8,FALSE),0)</f>
        <v>96.206670939243196</v>
      </c>
      <c r="Q58" s="83">
        <f ca="1">VLOOKUP(C58,Sensitivities!$A$6:$AB$44,13,FALSE)</f>
        <v>0</v>
      </c>
      <c r="R58" s="148">
        <f t="shared" ca="1" si="29"/>
        <v>-96.206670939243196</v>
      </c>
      <c r="T58" s="142" t="str">
        <f t="shared" ca="1" si="30"/>
        <v>Fail</v>
      </c>
      <c r="U58" s="142" t="str">
        <f t="shared" ca="1" si="31"/>
        <v>Fail</v>
      </c>
      <c r="V58" s="142" t="str">
        <f t="shared" ca="1" si="32"/>
        <v>Fail</v>
      </c>
      <c r="W58" s="142" t="str">
        <f t="shared" ca="1" si="33"/>
        <v>Fail</v>
      </c>
      <c r="X58" s="142" t="str">
        <f t="shared" ca="1" si="34"/>
        <v>Fail</v>
      </c>
    </row>
    <row r="59" spans="2:24">
      <c r="B59" s="147" t="s">
        <v>342</v>
      </c>
      <c r="C59" s="300" t="s">
        <v>73</v>
      </c>
      <c r="D59" s="102">
        <f ca="1">IFERROR(VLOOKUP(B59&amp;"_"&amp;C59,'MX Inflation Sensi'!$A$2:$H$500,4,FALSE),0)</f>
        <v>77.3268960915657</v>
      </c>
      <c r="E59" s="83">
        <f ca="1">VLOOKUP(C59,Sensitivities!$A$6:$AB$44,3,FALSE)</f>
        <v>77.327214954235515</v>
      </c>
      <c r="F59" s="87">
        <f t="shared" ca="1" si="25"/>
        <v>3.1886266981473455E-4</v>
      </c>
      <c r="G59" s="102">
        <f ca="1">IFERROR(VLOOKUP(B59&amp;"_"&amp;C59,'MX Inflation Sensi'!$A$2:$H$500,6,FALSE),0)</f>
        <v>0</v>
      </c>
      <c r="H59" s="83">
        <f ca="1">VLOOKUP(C59,Sensitivities!$A$6:$AB$44,12,FALSE)</f>
        <v>0</v>
      </c>
      <c r="I59" s="87">
        <f t="shared" ca="1" si="26"/>
        <v>0</v>
      </c>
      <c r="J59" s="102">
        <f ca="1">IFERROR(VLOOKUP(B59&amp;"_"&amp;C59,'MX Inflation Sensi'!$A$2:$H$500,5,FALSE),0)</f>
        <v>0</v>
      </c>
      <c r="K59" s="83">
        <f ca="1">VLOOKUP(C59,Sensitivities!$A$6:$AB$44,21,FALSE)</f>
        <v>0</v>
      </c>
      <c r="L59" s="87">
        <f t="shared" ca="1" si="27"/>
        <v>0</v>
      </c>
      <c r="M59" s="102">
        <f ca="1">IFERROR(VLOOKUP(B59&amp;"_"&amp;C59,'MX Inflation Sensi'!$A$2:$H$500,7,FALSE),0)</f>
        <v>0.167735459045112</v>
      </c>
      <c r="N59" s="83">
        <f ca="1">VLOOKUP(C59,Sensitivities!$A$6:$AB$44,4,FALSE)</f>
        <v>0.16782492673600302</v>
      </c>
      <c r="O59" s="87">
        <f t="shared" ca="1" si="28"/>
        <v>8.9467690891020801E-5</v>
      </c>
      <c r="P59" s="102">
        <f ca="1">IFERROR(VLOOKUP(B59&amp;"_"&amp;C59,'MX Inflation Sensi'!$A$2:$H$500,8,FALSE),0)</f>
        <v>0</v>
      </c>
      <c r="Q59" s="83">
        <f ca="1">VLOOKUP(C59,Sensitivities!$A$6:$AB$44,13,FALSE)</f>
        <v>0</v>
      </c>
      <c r="R59" s="148">
        <f t="shared" ca="1" si="29"/>
        <v>0</v>
      </c>
      <c r="T59" s="142" t="str">
        <f t="shared" ca="1" si="30"/>
        <v>Fail</v>
      </c>
      <c r="U59" s="142" t="str">
        <f t="shared" ca="1" si="31"/>
        <v>Pass</v>
      </c>
      <c r="V59" s="142" t="str">
        <f t="shared" ca="1" si="32"/>
        <v>Pass</v>
      </c>
      <c r="W59" s="142" t="str">
        <f t="shared" ca="1" si="33"/>
        <v>Pass</v>
      </c>
      <c r="X59" s="142" t="str">
        <f t="shared" ca="1" si="34"/>
        <v>Pass</v>
      </c>
    </row>
    <row r="60" spans="2:24">
      <c r="B60" s="147" t="s">
        <v>342</v>
      </c>
      <c r="C60" s="300" t="s">
        <v>74</v>
      </c>
      <c r="D60" s="102">
        <f ca="1">IFERROR(VLOOKUP(B60&amp;"_"&amp;C60,'MX Inflation Sensi'!$A$2:$H$500,4,FALSE),0)</f>
        <v>-69391.332372991004</v>
      </c>
      <c r="E60" s="83">
        <f ca="1">VLOOKUP(C60,Sensitivities!$A$6:$AB$44,3,FALSE)</f>
        <v>-69391.618512828645</v>
      </c>
      <c r="F60" s="87">
        <f t="shared" ca="1" si="25"/>
        <v>-0.28613983764080331</v>
      </c>
      <c r="G60" s="102">
        <f ca="1">IFERROR(VLOOKUP(B60&amp;"_"&amp;C60,'MX Inflation Sensi'!$A$2:$H$500,6,FALSE),0)</f>
        <v>-68952.466026738301</v>
      </c>
      <c r="H60" s="83">
        <f ca="1">VLOOKUP(C60,Sensitivities!$A$6:$AB$44,12,FALSE)</f>
        <v>-68952.466024193622</v>
      </c>
      <c r="I60" s="87">
        <f t="shared" ca="1" si="26"/>
        <v>2.544678864069283E-6</v>
      </c>
      <c r="J60" s="102">
        <f ca="1">IFERROR(VLOOKUP(B60&amp;"_"&amp;C60,'MX Inflation Sensi'!$A$2:$H$500,5,FALSE),0)</f>
        <v>-165365.74247510399</v>
      </c>
      <c r="K60" s="83">
        <f ca="1">VLOOKUP(C60,Sensitivities!$A$6:$AB$44,21,FALSE)</f>
        <v>-177599.8642724595</v>
      </c>
      <c r="L60" s="87">
        <f t="shared" ca="1" si="27"/>
        <v>-12234.121797355503</v>
      </c>
      <c r="M60" s="102">
        <f ca="1">IFERROR(VLOOKUP(B60&amp;"_"&amp;C60,'MX Inflation Sensi'!$A$2:$H$500,7,FALSE),0)</f>
        <v>-151.03658299878299</v>
      </c>
      <c r="N60" s="83">
        <f ca="1">VLOOKUP(C60,Sensitivities!$A$6:$AB$44,4,FALSE)</f>
        <v>-151.07699802934076</v>
      </c>
      <c r="O60" s="87">
        <f t="shared" ca="1" si="28"/>
        <v>-4.0415030557767295E-2</v>
      </c>
      <c r="P60" s="102">
        <f ca="1">IFERROR(VLOOKUP(B60&amp;"_"&amp;C60,'MX Inflation Sensi'!$A$2:$H$500,8,FALSE),0)</f>
        <v>-173.563707492536</v>
      </c>
      <c r="Q60" s="83">
        <f ca="1">VLOOKUP(C60,Sensitivities!$A$6:$AB$44,13,FALSE)</f>
        <v>-150.02836610942904</v>
      </c>
      <c r="R60" s="148">
        <f t="shared" ca="1" si="29"/>
        <v>23.535341383106953</v>
      </c>
      <c r="T60" s="142" t="str">
        <f t="shared" ca="1" si="30"/>
        <v>Fail</v>
      </c>
      <c r="U60" s="142" t="str">
        <f t="shared" ca="1" si="31"/>
        <v>Pass</v>
      </c>
      <c r="V60" s="142" t="str">
        <f t="shared" ca="1" si="32"/>
        <v>Fail</v>
      </c>
      <c r="W60" s="142" t="str">
        <f t="shared" ca="1" si="33"/>
        <v>Fail</v>
      </c>
      <c r="X60" s="142" t="str">
        <f t="shared" ca="1" si="34"/>
        <v>Fail</v>
      </c>
    </row>
    <row r="61" spans="2:24">
      <c r="B61" s="147" t="s">
        <v>342</v>
      </c>
      <c r="C61" s="300" t="s">
        <v>75</v>
      </c>
      <c r="D61" s="102">
        <f ca="1">IFERROR(VLOOKUP(B61&amp;"_"&amp;C61,'MX Inflation Sensi'!$A$2:$H$500,4,FALSE),0)</f>
        <v>40472.558393853098</v>
      </c>
      <c r="E61" s="83">
        <f ca="1">VLOOKUP(C61,Sensitivities!$A$6:$AB$44,3,FALSE)</f>
        <v>40713.648624691181</v>
      </c>
      <c r="F61" s="87">
        <f t="shared" ca="1" si="25"/>
        <v>241.09023083808279</v>
      </c>
      <c r="G61" s="102">
        <f ca="1">IFERROR(VLOOKUP(B61&amp;"_"&amp;C61,'MX Inflation Sensi'!$A$2:$H$500,6,FALSE),0)</f>
        <v>40702.374502845603</v>
      </c>
      <c r="H61" s="83">
        <f ca="1">VLOOKUP(C61,Sensitivities!$A$6:$AB$44,12,FALSE)</f>
        <v>40582.609696497042</v>
      </c>
      <c r="I61" s="87">
        <f t="shared" ca="1" si="26"/>
        <v>-119.76480634856125</v>
      </c>
      <c r="J61" s="102">
        <f ca="1">IFERROR(VLOOKUP(B61&amp;"_"&amp;C61,'MX Inflation Sensi'!$A$2:$H$500,5,FALSE),0)</f>
        <v>52381.527277599598</v>
      </c>
      <c r="K61" s="83">
        <f ca="1">VLOOKUP(C61,Sensitivities!$A$6:$AB$44,21,FALSE)</f>
        <v>74318.494968060884</v>
      </c>
      <c r="L61" s="87">
        <f t="shared" ca="1" si="27"/>
        <v>21936.967690461286</v>
      </c>
      <c r="M61" s="102">
        <f ca="1">IFERROR(VLOOKUP(B61&amp;"_"&amp;C61,'MX Inflation Sensi'!$A$2:$H$500,7,FALSE),0)</f>
        <v>141.06699744474</v>
      </c>
      <c r="N61" s="83">
        <f ca="1">VLOOKUP(C61,Sensitivities!$A$6:$AB$44,4,FALSE)</f>
        <v>141.84428139605734</v>
      </c>
      <c r="O61" s="87">
        <f t="shared" ca="1" si="28"/>
        <v>0.77728395131734374</v>
      </c>
      <c r="P61" s="102">
        <f ca="1">IFERROR(VLOOKUP(B61&amp;"_"&amp;C61,'MX Inflation Sensi'!$A$2:$H$500,8,FALSE),0)</f>
        <v>181.51629374003099</v>
      </c>
      <c r="Q61" s="83">
        <f ca="1">VLOOKUP(C61,Sensitivities!$A$6:$AB$44,13,FALSE)</f>
        <v>141.30382942241704</v>
      </c>
      <c r="R61" s="148">
        <f t="shared" ca="1" si="29"/>
        <v>-40.21246431761395</v>
      </c>
      <c r="T61" s="142" t="str">
        <f t="shared" ca="1" si="30"/>
        <v>Fail</v>
      </c>
      <c r="U61" s="142" t="str">
        <f t="shared" ca="1" si="31"/>
        <v>Fail</v>
      </c>
      <c r="V61" s="142" t="str">
        <f t="shared" ca="1" si="32"/>
        <v>Fail</v>
      </c>
      <c r="W61" s="142" t="str">
        <f t="shared" ca="1" si="33"/>
        <v>Fail</v>
      </c>
      <c r="X61" s="142" t="str">
        <f t="shared" ca="1" si="34"/>
        <v>Fail</v>
      </c>
    </row>
    <row r="62" spans="2:24" ht="15.75" thickBot="1">
      <c r="B62" s="149" t="s">
        <v>342</v>
      </c>
      <c r="C62" s="301" t="s">
        <v>76</v>
      </c>
      <c r="D62" s="202">
        <f ca="1">IFERROR(VLOOKUP(B62&amp;"_"&amp;C62,'MX Inflation Sensi'!$A$2:$H$500,4,FALSE),0)</f>
        <v>344816.53514907102</v>
      </c>
      <c r="E62" s="150">
        <f ca="1">VLOOKUP(C62,Sensitivities!$A$6:$AB$44,3,FALSE)</f>
        <v>52492.542023162649</v>
      </c>
      <c r="F62" s="203">
        <f t="shared" ca="1" si="25"/>
        <v>-292323.99312590837</v>
      </c>
      <c r="G62" s="202">
        <f ca="1">IFERROR(VLOOKUP(B62&amp;"_"&amp;C62,'MX Inflation Sensi'!$A$2:$H$500,6,FALSE),0)</f>
        <v>343350.48472475301</v>
      </c>
      <c r="H62" s="150">
        <f ca="1">VLOOKUP(C62,Sensitivities!$A$6:$AB$44,12,FALSE)</f>
        <v>52269.360401454032</v>
      </c>
      <c r="I62" s="203">
        <f t="shared" ca="1" si="26"/>
        <v>-291081.12432329898</v>
      </c>
      <c r="J62" s="202">
        <f ca="1">IFERROR(VLOOKUP(B62&amp;"_"&amp;C62,'MX Inflation Sensi'!$A$2:$H$500,5,FALSE),0)</f>
        <v>472139.754049693</v>
      </c>
      <c r="K62" s="150">
        <f ca="1">VLOOKUP(C62,Sensitivities!$A$6:$AB$44,21,FALSE)</f>
        <v>70602.265342337312</v>
      </c>
      <c r="L62" s="203">
        <f t="shared" ca="1" si="27"/>
        <v>-401537.48870735569</v>
      </c>
      <c r="M62" s="202">
        <f ca="1">IFERROR(VLOOKUP(B62&amp;"_"&amp;C62,'MX Inflation Sensi'!$A$2:$H$500,7,FALSE),0)</f>
        <v>955.89122190666205</v>
      </c>
      <c r="N62" s="150">
        <f ca="1">VLOOKUP(C62,Sensitivities!$A$6:$AB$44,4,FALSE)</f>
        <v>126.48034848639509</v>
      </c>
      <c r="O62" s="203">
        <f t="shared" ca="1" si="28"/>
        <v>-829.41087342026697</v>
      </c>
      <c r="P62" s="202">
        <f ca="1">IFERROR(VLOOKUP(B62&amp;"_"&amp;C62,'MX Inflation Sensi'!$A$2:$H$500,8,FALSE),0)</f>
        <v>931.13294287154599</v>
      </c>
      <c r="Q62" s="150">
        <f ca="1">VLOOKUP(C62,Sensitivities!$A$6:$AB$44,13,FALSE)</f>
        <v>125.92759795000893</v>
      </c>
      <c r="R62" s="153">
        <f t="shared" ca="1" si="29"/>
        <v>-805.20534492153706</v>
      </c>
      <c r="T62" s="144" t="str">
        <f t="shared" ca="1" si="30"/>
        <v>Fail</v>
      </c>
      <c r="U62" s="144" t="str">
        <f t="shared" ca="1" si="31"/>
        <v>Fail</v>
      </c>
      <c r="V62" s="144" t="str">
        <f t="shared" ca="1" si="32"/>
        <v>Fail</v>
      </c>
      <c r="W62" s="144" t="str">
        <f t="shared" ca="1" si="33"/>
        <v>Fail</v>
      </c>
      <c r="X62" s="144" t="str">
        <f t="shared" ca="1" si="34"/>
        <v>Fail</v>
      </c>
    </row>
    <row r="63" spans="2:24" ht="15.75" thickBot="1">
      <c r="M63"/>
      <c r="V63" s="139"/>
    </row>
    <row r="64" spans="2:24" ht="15.75" thickBot="1">
      <c r="B64" s="163" t="s">
        <v>255</v>
      </c>
      <c r="C64" s="165" t="s">
        <v>0</v>
      </c>
      <c r="D64" s="164" t="s">
        <v>307</v>
      </c>
      <c r="E64" s="164" t="s">
        <v>306</v>
      </c>
      <c r="F64" s="205" t="s">
        <v>305</v>
      </c>
      <c r="G64" s="204" t="s">
        <v>308</v>
      </c>
      <c r="H64" s="164" t="s">
        <v>309</v>
      </c>
      <c r="I64" s="205" t="s">
        <v>310</v>
      </c>
      <c r="J64" s="204" t="s">
        <v>311</v>
      </c>
      <c r="K64" s="164" t="s">
        <v>312</v>
      </c>
      <c r="L64" s="205" t="s">
        <v>313</v>
      </c>
      <c r="M64" s="204" t="s">
        <v>321</v>
      </c>
      <c r="N64" s="164" t="s">
        <v>322</v>
      </c>
      <c r="O64" s="205" t="s">
        <v>264</v>
      </c>
      <c r="P64" s="164" t="s">
        <v>323</v>
      </c>
      <c r="Q64" s="164" t="s">
        <v>324</v>
      </c>
      <c r="R64" s="165" t="s">
        <v>264</v>
      </c>
      <c r="T64" s="152" t="s">
        <v>303</v>
      </c>
      <c r="U64" s="152" t="s">
        <v>314</v>
      </c>
      <c r="V64" s="152" t="s">
        <v>315</v>
      </c>
      <c r="W64" s="152" t="s">
        <v>304</v>
      </c>
      <c r="X64" s="152" t="s">
        <v>320</v>
      </c>
    </row>
    <row r="65" spans="2:24">
      <c r="B65" s="285" t="s">
        <v>345</v>
      </c>
      <c r="C65" s="300" t="s">
        <v>91</v>
      </c>
      <c r="D65" s="102">
        <f ca="1">IFERROR(VLOOKUP(B65&amp;"_"&amp;C65,'MX Inflation Sensi'!$A$2:$H$500,4,FALSE),0)</f>
        <v>152910.54635998901</v>
      </c>
      <c r="E65" s="83">
        <f ca="1">VLOOKUP(C65,Sensitivities!$A$6:$AB$44,9,FALSE)</f>
        <v>82820.330956115213</v>
      </c>
      <c r="F65" s="87">
        <f t="shared" ref="F65:F79" ca="1" si="35">E65-D65</f>
        <v>-70090.215403873794</v>
      </c>
      <c r="G65" s="102">
        <f ca="1">IFERROR(VLOOKUP(B65&amp;"_"&amp;C65,'MX Inflation Sensi'!$A$2:$H$500,6,FALSE),0)</f>
        <v>139077.629949945</v>
      </c>
      <c r="H65" s="83">
        <f ca="1">VLOOKUP(C65,Sensitivities!$A$6:$AB$44,18,FALSE)</f>
        <v>75378.356010855146</v>
      </c>
      <c r="I65" s="87">
        <f t="shared" ref="I65:I79" ca="1" si="36">H65-G65</f>
        <v>-63699.27393908985</v>
      </c>
      <c r="J65" s="102">
        <f ca="1">IFERROR(VLOOKUP(B65&amp;"_"&amp;C65,'MX Inflation Sensi'!$A$2:$H$500,5,FALSE),0)</f>
        <v>12150351.301181501</v>
      </c>
      <c r="K65" s="83">
        <f ca="1">VLOOKUP(C65,Sensitivities!$A$6:$AB$44,27,FALSE)</f>
        <v>3555992.8776755505</v>
      </c>
      <c r="L65" s="87">
        <f t="shared" ref="L65:L79" ca="1" si="37">K65-J65</f>
        <v>-8594358.4235059507</v>
      </c>
      <c r="M65" s="102">
        <f ca="1">IFERROR(VLOOKUP(B65&amp;"_"&amp;C65,'MX Inflation Sensi'!$A$2:$H$500,7,FALSE),0)</f>
        <v>-6.5964171409542001</v>
      </c>
      <c r="N65" s="83">
        <f ca="1">VLOOKUP(C65,Sensitivities!$A$6:$AB$44,10,FALSE)</f>
        <v>-5.0224727742897812</v>
      </c>
      <c r="O65" s="87">
        <f t="shared" ref="O65:O79" ca="1" si="38">N65-M65</f>
        <v>1.5739443666644188</v>
      </c>
      <c r="P65" s="102">
        <f ca="1">IFERROR(VLOOKUP(B65&amp;"_"&amp;C65,'MX Inflation Sensi'!$A$2:$H$500,8,FALSE),0)</f>
        <v>-6.5380840397875497</v>
      </c>
      <c r="Q65" s="83">
        <f ca="1">VLOOKUP(C65,Sensitivities!$A$6:$AB$44,19,FALSE)</f>
        <v>-5.4250787557830336</v>
      </c>
      <c r="R65" s="148">
        <f t="shared" ref="R65:R79" ca="1" si="39">Q65-P65</f>
        <v>1.1130052840045161</v>
      </c>
      <c r="T65" s="142" t="str">
        <f t="shared" ref="T65:T79" ca="1" si="40">IF(ABS(F65)&lt;$F$1,"Pass","Fail")</f>
        <v>Fail</v>
      </c>
      <c r="U65" s="142" t="str">
        <f t="shared" ref="U65:U79" ca="1" si="41">IF(ABS(I65)&lt;$F$1,"Pass","Fail")</f>
        <v>Fail</v>
      </c>
      <c r="V65" s="142" t="str">
        <f t="shared" ref="V65:V79" ca="1" si="42">IF(ABS(L65)&lt;$F$1,"Pass","Fail")</f>
        <v>Fail</v>
      </c>
      <c r="W65" s="142" t="str">
        <f t="shared" ref="W65:W79" ca="1" si="43">IF(ABS(O65)&lt;$F$1,"Pass","Fail")</f>
        <v>Fail</v>
      </c>
      <c r="X65" s="142" t="str">
        <f t="shared" ref="X65:X79" ca="1" si="44">IF(ABS(R65)&lt;$F$1,"Pass","Fail")</f>
        <v>Fail</v>
      </c>
    </row>
    <row r="66" spans="2:24">
      <c r="B66" s="147" t="s">
        <v>345</v>
      </c>
      <c r="C66" s="300" t="s">
        <v>35</v>
      </c>
      <c r="D66" s="102">
        <f ca="1">IFERROR(VLOOKUP(B66&amp;"_"&amp;C66,'MX Inflation Sensi'!$A$2:$H$500,4,FALSE),0)</f>
        <v>58091.024916205999</v>
      </c>
      <c r="E66" s="83">
        <f ca="1">VLOOKUP(C66,Sensitivities!$A$6:$AB$44,9,FALSE)</f>
        <v>46254.328477559073</v>
      </c>
      <c r="F66" s="87">
        <f t="shared" ca="1" si="35"/>
        <v>-11836.696438646926</v>
      </c>
      <c r="G66" s="102">
        <f ca="1">IFERROR(VLOOKUP(B66&amp;"_"&amp;C66,'MX Inflation Sensi'!$A$2:$H$500,6,FALSE),0)</f>
        <v>55655.174688185201</v>
      </c>
      <c r="H66" s="83">
        <f ca="1">VLOOKUP(C66,Sensitivities!$A$6:$AB$44,18,FALSE)</f>
        <v>44399.516342116134</v>
      </c>
      <c r="I66" s="87">
        <f t="shared" ca="1" si="36"/>
        <v>-11255.658346069067</v>
      </c>
      <c r="J66" s="102">
        <f ca="1">IFERROR(VLOOKUP(B66&amp;"_"&amp;C66,'MX Inflation Sensi'!$A$2:$H$500,5,FALSE),0)</f>
        <v>1224606.48109548</v>
      </c>
      <c r="K66" s="83">
        <f ca="1">VLOOKUP(C66,Sensitivities!$A$6:$AB$44,27,FALSE)</f>
        <v>976137.26009801647</v>
      </c>
      <c r="L66" s="87">
        <f t="shared" ca="1" si="37"/>
        <v>-248469.22099746356</v>
      </c>
      <c r="M66" s="102">
        <f ca="1">IFERROR(VLOOKUP(B66&amp;"_"&amp;C66,'MX Inflation Sensi'!$A$2:$H$500,7,FALSE),0)</f>
        <v>6.2849025925931201</v>
      </c>
      <c r="N66" s="83">
        <f ca="1">VLOOKUP(C66,Sensitivities!$A$6:$AB$44,10,FALSE)</f>
        <v>5.5903267370886169</v>
      </c>
      <c r="O66" s="87">
        <f t="shared" ca="1" si="38"/>
        <v>-0.69457585550450318</v>
      </c>
      <c r="P66" s="102">
        <f ca="1">IFERROR(VLOOKUP(B66&amp;"_"&amp;C66,'MX Inflation Sensi'!$A$2:$H$500,8,FALSE),0)</f>
        <v>6.1410404250088</v>
      </c>
      <c r="Q66" s="83">
        <f ca="1">VLOOKUP(C66,Sensitivities!$A$6:$AB$44,19,FALSE)</f>
        <v>5.185754421618185</v>
      </c>
      <c r="R66" s="148">
        <f t="shared" ca="1" si="39"/>
        <v>-0.95528600339061498</v>
      </c>
      <c r="T66" s="142" t="str">
        <f t="shared" ca="1" si="40"/>
        <v>Fail</v>
      </c>
      <c r="U66" s="142" t="str">
        <f t="shared" ca="1" si="41"/>
        <v>Fail</v>
      </c>
      <c r="V66" s="142" t="str">
        <f t="shared" ca="1" si="42"/>
        <v>Fail</v>
      </c>
      <c r="W66" s="142" t="str">
        <f t="shared" ca="1" si="43"/>
        <v>Fail</v>
      </c>
      <c r="X66" s="142" t="str">
        <f t="shared" ca="1" si="44"/>
        <v>Fail</v>
      </c>
    </row>
    <row r="67" spans="2:24">
      <c r="B67" s="147" t="s">
        <v>345</v>
      </c>
      <c r="C67" s="300" t="s">
        <v>36</v>
      </c>
      <c r="D67" s="102">
        <f ca="1">IFERROR(VLOOKUP(B67&amp;"_"&amp;C67,'MX Inflation Sensi'!$A$2:$H$500,4,FALSE),0)</f>
        <v>85006.827516545702</v>
      </c>
      <c r="E67" s="83">
        <f ca="1">VLOOKUP(C67,Sensitivities!$A$6:$AB$44,9,FALSE)</f>
        <v>85006.827516858524</v>
      </c>
      <c r="F67" s="87">
        <f t="shared" ca="1" si="35"/>
        <v>3.1282252166420221E-7</v>
      </c>
      <c r="G67" s="102">
        <f ca="1">IFERROR(VLOOKUP(B67&amp;"_"&amp;C67,'MX Inflation Sensi'!$A$2:$H$500,6,FALSE),0)</f>
        <v>81989.4969777511</v>
      </c>
      <c r="H67" s="83">
        <f ca="1">VLOOKUP(C67,Sensitivities!$A$6:$AB$44,18,FALSE)</f>
        <v>81989.496977750212</v>
      </c>
      <c r="I67" s="87">
        <f t="shared" ca="1" si="36"/>
        <v>-8.8766682893037796E-10</v>
      </c>
      <c r="J67" s="102">
        <f ca="1">IFERROR(VLOOKUP(B67&amp;"_"&amp;C67,'MX Inflation Sensi'!$A$2:$H$500,5,FALSE),0)</f>
        <v>1164903.8012679201</v>
      </c>
      <c r="K67" s="83">
        <f ca="1">VLOOKUP(C67,Sensitivities!$A$6:$AB$44,27,FALSE)</f>
        <v>1156570.541027158</v>
      </c>
      <c r="L67" s="87">
        <f t="shared" ca="1" si="37"/>
        <v>-8333.2602407620288</v>
      </c>
      <c r="M67" s="102">
        <f ca="1">IFERROR(VLOOKUP(B67&amp;"_"&amp;C67,'MX Inflation Sensi'!$A$2:$H$500,7,FALSE),0)</f>
        <v>15.082706695300899</v>
      </c>
      <c r="N67" s="83">
        <f ca="1">VLOOKUP(C67,Sensitivities!$A$6:$AB$44,10,FALSE)</f>
        <v>15.107844855985604</v>
      </c>
      <c r="O67" s="87">
        <f t="shared" ca="1" si="38"/>
        <v>2.5138160684704758E-2</v>
      </c>
      <c r="P67" s="102">
        <f ca="1">IFERROR(VLOOKUP(B67&amp;"_"&amp;C67,'MX Inflation Sensi'!$A$2:$H$500,8,FALSE),0)</f>
        <v>13.0962383936845</v>
      </c>
      <c r="Q67" s="83">
        <f ca="1">VLOOKUP(C67,Sensitivities!$A$6:$AB$44,19,FALSE)</f>
        <v>14.325777405203553</v>
      </c>
      <c r="R67" s="148">
        <f t="shared" ca="1" si="39"/>
        <v>1.2295390115190532</v>
      </c>
      <c r="T67" s="142" t="str">
        <f t="shared" ca="1" si="40"/>
        <v>Pass</v>
      </c>
      <c r="U67" s="142" t="str">
        <f t="shared" ca="1" si="41"/>
        <v>Pass</v>
      </c>
      <c r="V67" s="142" t="str">
        <f t="shared" ca="1" si="42"/>
        <v>Fail</v>
      </c>
      <c r="W67" s="142" t="str">
        <f t="shared" ca="1" si="43"/>
        <v>Fail</v>
      </c>
      <c r="X67" s="142" t="str">
        <f t="shared" ca="1" si="44"/>
        <v>Fail</v>
      </c>
    </row>
    <row r="68" spans="2:24">
      <c r="B68" s="147" t="s">
        <v>345</v>
      </c>
      <c r="C68" s="300" t="s">
        <v>65</v>
      </c>
      <c r="D68" s="102">
        <f ca="1">IFERROR(VLOOKUP(B68&amp;"_"&amp;C68,'MX Inflation Sensi'!$A$2:$H$500,4,FALSE),0)</f>
        <v>5.5821563768967199E-5</v>
      </c>
      <c r="E68" s="83">
        <f ca="1">VLOOKUP(C68,Sensitivities!$A$6:$AB$44,9,FALSE)</f>
        <v>3.7318598959732814E-9</v>
      </c>
      <c r="F68" s="87">
        <f t="shared" ca="1" si="35"/>
        <v>-5.5817831909071224E-5</v>
      </c>
      <c r="G68" s="102">
        <f ca="1">IFERROR(VLOOKUP(B68&amp;"_"&amp;C68,'MX Inflation Sensi'!$A$2:$H$500,6,FALSE),0)</f>
        <v>0</v>
      </c>
      <c r="H68" s="83">
        <f ca="1">VLOOKUP(C68,Sensitivities!$A$6:$AB$44,18,FALSE)</f>
        <v>0</v>
      </c>
      <c r="I68" s="87">
        <f t="shared" ca="1" si="36"/>
        <v>0</v>
      </c>
      <c r="J68" s="102">
        <f ca="1">IFERROR(VLOOKUP(B68&amp;"_"&amp;C68,'MX Inflation Sensi'!$A$2:$H$500,5,FALSE),0)</f>
        <v>0</v>
      </c>
      <c r="K68" s="83">
        <f ca="1">VLOOKUP(C68,Sensitivities!$A$6:$AB$44,27,FALSE)</f>
        <v>0</v>
      </c>
      <c r="L68" s="87">
        <f t="shared" ca="1" si="37"/>
        <v>0</v>
      </c>
      <c r="M68" s="102">
        <f ca="1">IFERROR(VLOOKUP(B68&amp;"_"&amp;C68,'MX Inflation Sensi'!$A$2:$H$500,7,FALSE),0)</f>
        <v>3.9729321068050003E-8</v>
      </c>
      <c r="N68" s="83">
        <f ca="1">VLOOKUP(C68,Sensitivities!$A$6:$AB$44,10,FALSE)</f>
        <v>3.4787999051642623E-12</v>
      </c>
      <c r="O68" s="87">
        <f t="shared" ca="1" si="38"/>
        <v>-3.972584226814484E-8</v>
      </c>
      <c r="P68" s="102">
        <f ca="1">IFERROR(VLOOKUP(B68&amp;"_"&amp;C68,'MX Inflation Sensi'!$A$2:$H$500,8,FALSE),0)</f>
        <v>0</v>
      </c>
      <c r="Q68" s="83">
        <f ca="1">VLOOKUP(C68,Sensitivities!$A$6:$AB$44,19,FALSE)</f>
        <v>0</v>
      </c>
      <c r="R68" s="148">
        <f t="shared" ca="1" si="39"/>
        <v>0</v>
      </c>
      <c r="T68" s="142" t="str">
        <f t="shared" ca="1" si="40"/>
        <v>Pass</v>
      </c>
      <c r="U68" s="142" t="str">
        <f t="shared" ca="1" si="41"/>
        <v>Pass</v>
      </c>
      <c r="V68" s="142" t="str">
        <f t="shared" ca="1" si="42"/>
        <v>Pass</v>
      </c>
      <c r="W68" s="142" t="str">
        <f t="shared" ca="1" si="43"/>
        <v>Pass</v>
      </c>
      <c r="X68" s="142" t="str">
        <f t="shared" ca="1" si="44"/>
        <v>Pass</v>
      </c>
    </row>
    <row r="69" spans="2:24">
      <c r="B69" s="147" t="s">
        <v>345</v>
      </c>
      <c r="C69" s="300" t="s">
        <v>66</v>
      </c>
      <c r="D69" s="102">
        <f ca="1">IFERROR(VLOOKUP(B69&amp;"_"&amp;C69,'MX Inflation Sensi'!$A$2:$H$500,4,FALSE),0)</f>
        <v>-9.3536480051763897E-3</v>
      </c>
      <c r="E69" s="83">
        <f ca="1">VLOOKUP(C69,Sensitivities!$A$6:$AB$44,9,FALSE)</f>
        <v>-6.2532293104578058E-7</v>
      </c>
      <c r="F69" s="87">
        <f t="shared" ca="1" si="35"/>
        <v>9.3530226822453443E-3</v>
      </c>
      <c r="G69" s="102">
        <f ca="1">IFERROR(VLOOKUP(B69&amp;"_"&amp;C69,'MX Inflation Sensi'!$A$2:$H$500,6,FALSE),0)</f>
        <v>0</v>
      </c>
      <c r="H69" s="83">
        <f ca="1">VLOOKUP(C69,Sensitivities!$A$6:$AB$44,18,FALSE)</f>
        <v>0</v>
      </c>
      <c r="I69" s="87">
        <f t="shared" ca="1" si="36"/>
        <v>0</v>
      </c>
      <c r="J69" s="102">
        <f ca="1">IFERROR(VLOOKUP(B69&amp;"_"&amp;C69,'MX Inflation Sensi'!$A$2:$H$500,5,FALSE),0)</f>
        <v>0</v>
      </c>
      <c r="K69" s="83">
        <f ca="1">VLOOKUP(C69,Sensitivities!$A$6:$AB$44,27,FALSE)</f>
        <v>0</v>
      </c>
      <c r="L69" s="87">
        <f t="shared" ca="1" si="37"/>
        <v>0</v>
      </c>
      <c r="M69" s="102">
        <f ca="1">IFERROR(VLOOKUP(B69&amp;"_"&amp;C69,'MX Inflation Sensi'!$A$2:$H$500,7,FALSE),0)</f>
        <v>-6.7220798018002203E-6</v>
      </c>
      <c r="N69" s="83">
        <f ca="1">VLOOKUP(C69,Sensitivities!$A$6:$AB$44,10,FALSE)</f>
        <v>-5.8723271242871656E-10</v>
      </c>
      <c r="O69" s="87">
        <f t="shared" ca="1" si="38"/>
        <v>6.7214925690877911E-6</v>
      </c>
      <c r="P69" s="102">
        <f ca="1">IFERROR(VLOOKUP(B69&amp;"_"&amp;C69,'MX Inflation Sensi'!$A$2:$H$500,8,FALSE),0)</f>
        <v>0</v>
      </c>
      <c r="Q69" s="83">
        <f ca="1">VLOOKUP(C69,Sensitivities!$A$6:$AB$44,19,FALSE)</f>
        <v>0</v>
      </c>
      <c r="R69" s="148">
        <f t="shared" ca="1" si="39"/>
        <v>0</v>
      </c>
      <c r="T69" s="142" t="str">
        <f t="shared" ca="1" si="40"/>
        <v>Fail</v>
      </c>
      <c r="U69" s="142" t="str">
        <f t="shared" ca="1" si="41"/>
        <v>Pass</v>
      </c>
      <c r="V69" s="142" t="str">
        <f t="shared" ca="1" si="42"/>
        <v>Pass</v>
      </c>
      <c r="W69" s="142" t="str">
        <f t="shared" ca="1" si="43"/>
        <v>Pass</v>
      </c>
      <c r="X69" s="142" t="str">
        <f t="shared" ca="1" si="44"/>
        <v>Pass</v>
      </c>
    </row>
    <row r="70" spans="2:24">
      <c r="B70" s="147" t="s">
        <v>345</v>
      </c>
      <c r="C70" s="300" t="s">
        <v>67</v>
      </c>
      <c r="D70" s="102">
        <f ca="1">IFERROR(VLOOKUP(B70&amp;"_"&amp;C70,'MX Inflation Sensi'!$A$2:$H$500,4,FALSE),0)</f>
        <v>1.50512854573173</v>
      </c>
      <c r="E70" s="83">
        <f ca="1">VLOOKUP(C70,Sensitivities!$A$6:$AB$44,9,FALSE)</f>
        <v>1.0062292197763341E-4</v>
      </c>
      <c r="F70" s="87">
        <f t="shared" ca="1" si="35"/>
        <v>-1.5050279228097525</v>
      </c>
      <c r="G70" s="102">
        <f ca="1">IFERROR(VLOOKUP(B70&amp;"_"&amp;C70,'MX Inflation Sensi'!$A$2:$H$500,6,FALSE),0)</f>
        <v>0</v>
      </c>
      <c r="H70" s="83">
        <f ca="1">VLOOKUP(C70,Sensitivities!$A$6:$AB$44,18,FALSE)</f>
        <v>0</v>
      </c>
      <c r="I70" s="87">
        <f t="shared" ca="1" si="36"/>
        <v>0</v>
      </c>
      <c r="J70" s="102">
        <f ca="1">IFERROR(VLOOKUP(B70&amp;"_"&amp;C70,'MX Inflation Sensi'!$A$2:$H$500,5,FALSE),0)</f>
        <v>0</v>
      </c>
      <c r="K70" s="83">
        <f ca="1">VLOOKUP(C70,Sensitivities!$A$6:$AB$44,27,FALSE)</f>
        <v>0</v>
      </c>
      <c r="L70" s="87">
        <f t="shared" ca="1" si="37"/>
        <v>0</v>
      </c>
      <c r="M70" s="102">
        <f ca="1">IFERROR(VLOOKUP(B70&amp;"_"&amp;C70,'MX Inflation Sensi'!$A$2:$H$500,7,FALSE),0)</f>
        <v>1.09167642757238E-3</v>
      </c>
      <c r="N70" s="83">
        <f ca="1">VLOOKUP(C70,Sensitivities!$A$6:$AB$44,10,FALSE)</f>
        <v>9.518454809187408E-8</v>
      </c>
      <c r="O70" s="87">
        <f t="shared" ca="1" si="38"/>
        <v>-1.0915812430242881E-3</v>
      </c>
      <c r="P70" s="102">
        <f ca="1">IFERROR(VLOOKUP(B70&amp;"_"&amp;C70,'MX Inflation Sensi'!$A$2:$H$500,8,FALSE),0)</f>
        <v>0</v>
      </c>
      <c r="Q70" s="83">
        <f ca="1">VLOOKUP(C70,Sensitivities!$A$6:$AB$44,19,FALSE)</f>
        <v>0</v>
      </c>
      <c r="R70" s="148">
        <f t="shared" ca="1" si="39"/>
        <v>0</v>
      </c>
      <c r="T70" s="142" t="str">
        <f t="shared" ca="1" si="40"/>
        <v>Fail</v>
      </c>
      <c r="U70" s="142" t="str">
        <f t="shared" ca="1" si="41"/>
        <v>Pass</v>
      </c>
      <c r="V70" s="142" t="str">
        <f t="shared" ca="1" si="42"/>
        <v>Pass</v>
      </c>
      <c r="W70" s="142" t="str">
        <f t="shared" ca="1" si="43"/>
        <v>Fail</v>
      </c>
      <c r="X70" s="142" t="str">
        <f t="shared" ca="1" si="44"/>
        <v>Pass</v>
      </c>
    </row>
    <row r="71" spans="2:24">
      <c r="B71" s="147" t="s">
        <v>345</v>
      </c>
      <c r="C71" s="300" t="s">
        <v>68</v>
      </c>
      <c r="D71" s="102">
        <f ca="1">IFERROR(VLOOKUP(B71&amp;"_"&amp;C71,'MX Inflation Sensi'!$A$2:$H$500,4,FALSE),0)</f>
        <v>-228.02421913785301</v>
      </c>
      <c r="E71" s="83">
        <f ca="1">VLOOKUP(C71,Sensitivities!$A$6:$AB$44,9,FALSE)</f>
        <v>-1.5244188462431607E-2</v>
      </c>
      <c r="F71" s="87">
        <f t="shared" ca="1" si="35"/>
        <v>228.00897494939059</v>
      </c>
      <c r="G71" s="102">
        <f ca="1">IFERROR(VLOOKUP(B71&amp;"_"&amp;C71,'MX Inflation Sensi'!$A$2:$H$500,6,FALSE),0)</f>
        <v>0</v>
      </c>
      <c r="H71" s="83">
        <f ca="1">VLOOKUP(C71,Sensitivities!$A$6:$AB$44,18,FALSE)</f>
        <v>0</v>
      </c>
      <c r="I71" s="87">
        <f t="shared" ca="1" si="36"/>
        <v>0</v>
      </c>
      <c r="J71" s="102">
        <f ca="1">IFERROR(VLOOKUP(B71&amp;"_"&amp;C71,'MX Inflation Sensi'!$A$2:$H$500,5,FALSE),0)</f>
        <v>0</v>
      </c>
      <c r="K71" s="83">
        <f ca="1">VLOOKUP(C71,Sensitivities!$A$6:$AB$44,27,FALSE)</f>
        <v>0</v>
      </c>
      <c r="L71" s="87">
        <f t="shared" ca="1" si="37"/>
        <v>0</v>
      </c>
      <c r="M71" s="102">
        <f ca="1">IFERROR(VLOOKUP(B71&amp;"_"&amp;C71,'MX Inflation Sensi'!$A$2:$H$500,7,FALSE),0)</f>
        <v>-0.16696055451740299</v>
      </c>
      <c r="N71" s="83">
        <f ca="1">VLOOKUP(C71,Sensitivities!$A$6:$AB$44,10,FALSE)</f>
        <v>-1.4528107553495387E-5</v>
      </c>
      <c r="O71" s="87">
        <f t="shared" ca="1" si="38"/>
        <v>0.16694602640984949</v>
      </c>
      <c r="P71" s="102">
        <f ca="1">IFERROR(VLOOKUP(B71&amp;"_"&amp;C71,'MX Inflation Sensi'!$A$2:$H$500,8,FALSE),0)</f>
        <v>0</v>
      </c>
      <c r="Q71" s="83">
        <f ca="1">VLOOKUP(C71,Sensitivities!$A$6:$AB$44,19,FALSE)</f>
        <v>0</v>
      </c>
      <c r="R71" s="148">
        <f t="shared" ca="1" si="39"/>
        <v>0</v>
      </c>
      <c r="T71" s="142" t="str">
        <f t="shared" ca="1" si="40"/>
        <v>Fail</v>
      </c>
      <c r="U71" s="142" t="str">
        <f t="shared" ca="1" si="41"/>
        <v>Pass</v>
      </c>
      <c r="V71" s="142" t="str">
        <f t="shared" ca="1" si="42"/>
        <v>Pass</v>
      </c>
      <c r="W71" s="142" t="str">
        <f t="shared" ca="1" si="43"/>
        <v>Fail</v>
      </c>
      <c r="X71" s="142" t="str">
        <f t="shared" ca="1" si="44"/>
        <v>Pass</v>
      </c>
    </row>
    <row r="72" spans="2:24">
      <c r="B72" s="147" t="s">
        <v>345</v>
      </c>
      <c r="C72" s="300" t="s">
        <v>69</v>
      </c>
      <c r="D72" s="102">
        <f ca="1">IFERROR(VLOOKUP(B72&amp;"_"&amp;C72,'MX Inflation Sensi'!$A$2:$H$500,4,FALSE),0)</f>
        <v>34946.344101433802</v>
      </c>
      <c r="E72" s="83">
        <f ca="1">VLOOKUP(C72,Sensitivities!$A$6:$AB$44,9,FALSE)</f>
        <v>2.3362810212418776</v>
      </c>
      <c r="F72" s="87">
        <f t="shared" ca="1" si="35"/>
        <v>-34944.00782041256</v>
      </c>
      <c r="G72" s="102">
        <f ca="1">IFERROR(VLOOKUP(B72&amp;"_"&amp;C72,'MX Inflation Sensi'!$A$2:$H$500,6,FALSE),0)</f>
        <v>35315.274267593297</v>
      </c>
      <c r="H72" s="83">
        <f ca="1">VLOOKUP(C72,Sensitivities!$A$6:$AB$44,18,FALSE)</f>
        <v>0</v>
      </c>
      <c r="I72" s="87">
        <f t="shared" ca="1" si="36"/>
        <v>-35315.274267593297</v>
      </c>
      <c r="J72" s="102">
        <f ca="1">IFERROR(VLOOKUP(B72&amp;"_"&amp;C72,'MX Inflation Sensi'!$A$2:$H$500,5,FALSE),0)</f>
        <v>157474.707126661</v>
      </c>
      <c r="K72" s="83">
        <f ca="1">VLOOKUP(C72,Sensitivities!$A$6:$AB$44,27,FALSE)</f>
        <v>0</v>
      </c>
      <c r="L72" s="87">
        <f t="shared" ca="1" si="37"/>
        <v>-157474.707126661</v>
      </c>
      <c r="M72" s="102">
        <f ca="1">IFERROR(VLOOKUP(B72&amp;"_"&amp;C72,'MX Inflation Sensi'!$A$2:$H$500,7,FALSE),0)</f>
        <v>25.8240243227986</v>
      </c>
      <c r="N72" s="83">
        <f ca="1">VLOOKUP(C72,Sensitivities!$A$6:$AB$44,10,FALSE)</f>
        <v>2.2425162031174395E-3</v>
      </c>
      <c r="O72" s="87">
        <f t="shared" ca="1" si="38"/>
        <v>-25.821781806595482</v>
      </c>
      <c r="P72" s="102">
        <f ca="1">IFERROR(VLOOKUP(B72&amp;"_"&amp;C72,'MX Inflation Sensi'!$A$2:$H$500,8,FALSE),0)</f>
        <v>27.669693905253201</v>
      </c>
      <c r="Q72" s="83">
        <f ca="1">VLOOKUP(C72,Sensitivities!$A$6:$AB$44,19,FALSE)</f>
        <v>0</v>
      </c>
      <c r="R72" s="148">
        <f t="shared" ca="1" si="39"/>
        <v>-27.669693905253201</v>
      </c>
      <c r="T72" s="142" t="str">
        <f t="shared" ca="1" si="40"/>
        <v>Fail</v>
      </c>
      <c r="U72" s="142" t="str">
        <f t="shared" ca="1" si="41"/>
        <v>Fail</v>
      </c>
      <c r="V72" s="142" t="str">
        <f t="shared" ca="1" si="42"/>
        <v>Fail</v>
      </c>
      <c r="W72" s="142" t="str">
        <f t="shared" ca="1" si="43"/>
        <v>Fail</v>
      </c>
      <c r="X72" s="142" t="str">
        <f t="shared" ca="1" si="44"/>
        <v>Fail</v>
      </c>
    </row>
    <row r="73" spans="2:24">
      <c r="B73" s="147" t="s">
        <v>345</v>
      </c>
      <c r="C73" s="300" t="s">
        <v>70</v>
      </c>
      <c r="D73" s="102">
        <f ca="1">IFERROR(VLOOKUP(B73&amp;"_"&amp;C73,'MX Inflation Sensi'!$A$2:$H$500,4,FALSE),0)</f>
        <v>152798.001081389</v>
      </c>
      <c r="E73" s="83">
        <f ca="1">VLOOKUP(C73,Sensitivities!$A$6:$AB$44,9,FALSE)</f>
        <v>-352.594649790245</v>
      </c>
      <c r="F73" s="87">
        <f t="shared" ca="1" si="35"/>
        <v>-153150.59573117923</v>
      </c>
      <c r="G73" s="102">
        <f ca="1">IFERROR(VLOOKUP(B73&amp;"_"&amp;C73,'MX Inflation Sensi'!$A$2:$H$500,6,FALSE),0)</f>
        <v>151415.19044849399</v>
      </c>
      <c r="H73" s="83">
        <f ca="1">VLOOKUP(C73,Sensitivities!$A$6:$AB$44,18,FALSE)</f>
        <v>686.38779342922828</v>
      </c>
      <c r="I73" s="87">
        <f t="shared" ca="1" si="36"/>
        <v>-150728.80265506476</v>
      </c>
      <c r="J73" s="102">
        <f ca="1">IFERROR(VLOOKUP(B73&amp;"_"&amp;C73,'MX Inflation Sensi'!$A$2:$H$500,5,FALSE),0)</f>
        <v>592634.85951169999</v>
      </c>
      <c r="K73" s="83">
        <f ca="1">VLOOKUP(C73,Sensitivities!$A$6:$AB$44,27,FALSE)</f>
        <v>2668.0442805340567</v>
      </c>
      <c r="L73" s="87">
        <f t="shared" ca="1" si="37"/>
        <v>-589966.81523116597</v>
      </c>
      <c r="M73" s="102">
        <f ca="1">IFERROR(VLOOKUP(B73&amp;"_"&amp;C73,'MX Inflation Sensi'!$A$2:$H$500,7,FALSE),0)</f>
        <v>116.74327385024</v>
      </c>
      <c r="N73" s="83">
        <f ca="1">VLOOKUP(C73,Sensitivities!$A$6:$AB$44,10,FALSE)</f>
        <v>-0.34084964411215424</v>
      </c>
      <c r="O73" s="87">
        <f t="shared" ca="1" si="38"/>
        <v>-117.08412349435216</v>
      </c>
      <c r="P73" s="102">
        <f ca="1">IFERROR(VLOOKUP(B73&amp;"_"&amp;C73,'MX Inflation Sensi'!$A$2:$H$500,8,FALSE),0)</f>
        <v>112.609847062265</v>
      </c>
      <c r="Q73" s="83">
        <f ca="1">VLOOKUP(C73,Sensitivities!$A$6:$AB$44,19,FALSE)</f>
        <v>0.59603212162653563</v>
      </c>
      <c r="R73" s="148">
        <f t="shared" ca="1" si="39"/>
        <v>-112.01381494063847</v>
      </c>
      <c r="T73" s="142" t="str">
        <f t="shared" ca="1" si="40"/>
        <v>Fail</v>
      </c>
      <c r="U73" s="142" t="str">
        <f t="shared" ca="1" si="41"/>
        <v>Fail</v>
      </c>
      <c r="V73" s="142" t="str">
        <f t="shared" ca="1" si="42"/>
        <v>Fail</v>
      </c>
      <c r="W73" s="142" t="str">
        <f t="shared" ca="1" si="43"/>
        <v>Fail</v>
      </c>
      <c r="X73" s="142" t="str">
        <f t="shared" ca="1" si="44"/>
        <v>Fail</v>
      </c>
    </row>
    <row r="74" spans="2:24">
      <c r="B74" s="147" t="s">
        <v>345</v>
      </c>
      <c r="C74" s="300" t="s">
        <v>71</v>
      </c>
      <c r="D74" s="102">
        <f ca="1">IFERROR(VLOOKUP(B74&amp;"_"&amp;C74,'MX Inflation Sensi'!$A$2:$H$500,4,FALSE),0)</f>
        <v>177978.09860175499</v>
      </c>
      <c r="E74" s="83">
        <f ca="1">VLOOKUP(C74,Sensitivities!$A$6:$AB$44,9,FALSE)</f>
        <v>156619.97703551454</v>
      </c>
      <c r="F74" s="87">
        <f t="shared" ca="1" si="35"/>
        <v>-21358.121566240443</v>
      </c>
      <c r="G74" s="102">
        <f ca="1">IFERROR(VLOOKUP(B74&amp;"_"&amp;C74,'MX Inflation Sensi'!$A$2:$H$500,6,FALSE),0)</f>
        <v>175653.981036424</v>
      </c>
      <c r="H74" s="83">
        <f ca="1">VLOOKUP(C74,Sensitivities!$A$6:$AB$44,18,FALSE)</f>
        <v>154334.63996140123</v>
      </c>
      <c r="I74" s="87">
        <f t="shared" ca="1" si="36"/>
        <v>-21319.341075022763</v>
      </c>
      <c r="J74" s="102">
        <f ca="1">IFERROR(VLOOKUP(B74&amp;"_"&amp;C74,'MX Inflation Sensi'!$A$2:$H$500,5,FALSE),0)</f>
        <v>588010.73421839101</v>
      </c>
      <c r="K74" s="83">
        <f ca="1">VLOOKUP(C74,Sensitivities!$A$6:$AB$44,27,FALSE)</f>
        <v>523020.78904014797</v>
      </c>
      <c r="L74" s="87">
        <f t="shared" ca="1" si="37"/>
        <v>-64989.945178243041</v>
      </c>
      <c r="M74" s="102">
        <f ca="1">IFERROR(VLOOKUP(B74&amp;"_"&amp;C74,'MX Inflation Sensi'!$A$2:$H$500,7,FALSE),0)</f>
        <v>164.35055101426099</v>
      </c>
      <c r="N74" s="83">
        <f ca="1">VLOOKUP(C74,Sensitivities!$A$6:$AB$44,10,FALSE)</f>
        <v>142.33649670184241</v>
      </c>
      <c r="O74" s="87">
        <f t="shared" ca="1" si="38"/>
        <v>-22.01405431241858</v>
      </c>
      <c r="P74" s="102">
        <f ca="1">IFERROR(VLOOKUP(B74&amp;"_"&amp;C74,'MX Inflation Sensi'!$A$2:$H$500,8,FALSE),0)</f>
        <v>168.98793787495401</v>
      </c>
      <c r="Q74" s="83">
        <f ca="1">VLOOKUP(C74,Sensitivities!$A$6:$AB$44,19,FALSE)</f>
        <v>140.14072350604692</v>
      </c>
      <c r="R74" s="148">
        <f t="shared" ca="1" si="39"/>
        <v>-28.847214368907089</v>
      </c>
      <c r="T74" s="142" t="str">
        <f t="shared" ca="1" si="40"/>
        <v>Fail</v>
      </c>
      <c r="U74" s="142" t="str">
        <f t="shared" ca="1" si="41"/>
        <v>Fail</v>
      </c>
      <c r="V74" s="142" t="str">
        <f t="shared" ca="1" si="42"/>
        <v>Fail</v>
      </c>
      <c r="W74" s="142" t="str">
        <f t="shared" ca="1" si="43"/>
        <v>Fail</v>
      </c>
      <c r="X74" s="142" t="str">
        <f t="shared" ca="1" si="44"/>
        <v>Fail</v>
      </c>
    </row>
    <row r="75" spans="2:24">
      <c r="B75" s="147" t="s">
        <v>345</v>
      </c>
      <c r="C75" s="300" t="s">
        <v>72</v>
      </c>
      <c r="D75" s="102">
        <f ca="1">IFERROR(VLOOKUP(B75&amp;"_"&amp;C75,'MX Inflation Sensi'!$A$2:$H$500,4,FALSE),0)</f>
        <v>160056.463136812</v>
      </c>
      <c r="E75" s="83">
        <f ca="1">VLOOKUP(C75,Sensitivities!$A$6:$AB$44,9,FALSE)</f>
        <v>62173.353495654614</v>
      </c>
      <c r="F75" s="87">
        <f t="shared" ca="1" si="35"/>
        <v>-97883.109641157382</v>
      </c>
      <c r="G75" s="102">
        <f ca="1">IFERROR(VLOOKUP(B75&amp;"_"&amp;C75,'MX Inflation Sensi'!$A$2:$H$500,6,FALSE),0)</f>
        <v>158648.37455797201</v>
      </c>
      <c r="H75" s="83">
        <f ca="1">VLOOKUP(C75,Sensitivities!$A$6:$AB$44,18,FALSE)</f>
        <v>61815.000516135318</v>
      </c>
      <c r="I75" s="87">
        <f t="shared" ca="1" si="36"/>
        <v>-96833.374041836694</v>
      </c>
      <c r="J75" s="102">
        <f ca="1">IFERROR(VLOOKUP(B75&amp;"_"&amp;C75,'MX Inflation Sensi'!$A$2:$H$500,5,FALSE),0)</f>
        <v>432595.25706419197</v>
      </c>
      <c r="K75" s="83">
        <f ca="1">VLOOKUP(C75,Sensitivities!$A$6:$AB$44,27,FALSE)</f>
        <v>164958.96620230621</v>
      </c>
      <c r="L75" s="87">
        <f t="shared" ca="1" si="37"/>
        <v>-267636.29086188576</v>
      </c>
      <c r="M75" s="102">
        <f ca="1">IFERROR(VLOOKUP(B75&amp;"_"&amp;C75,'MX Inflation Sensi'!$A$2:$H$500,7,FALSE),0)</f>
        <v>161.39367246056401</v>
      </c>
      <c r="N75" s="83">
        <f ca="1">VLOOKUP(C75,Sensitivities!$A$6:$AB$44,10,FALSE)</f>
        <v>60.493411944873515</v>
      </c>
      <c r="O75" s="87">
        <f t="shared" ca="1" si="38"/>
        <v>-100.90026051569049</v>
      </c>
      <c r="P75" s="102">
        <f ca="1">IFERROR(VLOOKUP(B75&amp;"_"&amp;C75,'MX Inflation Sensi'!$A$2:$H$500,8,FALSE),0)</f>
        <v>150.09390343121001</v>
      </c>
      <c r="Q75" s="83">
        <f ca="1">VLOOKUP(C75,Sensitivities!$A$6:$AB$44,19,FALSE)</f>
        <v>60.218156314091175</v>
      </c>
      <c r="R75" s="148">
        <f t="shared" ca="1" si="39"/>
        <v>-89.875747117118834</v>
      </c>
      <c r="T75" s="142" t="str">
        <f t="shared" ca="1" si="40"/>
        <v>Fail</v>
      </c>
      <c r="U75" s="142" t="str">
        <f t="shared" ca="1" si="41"/>
        <v>Fail</v>
      </c>
      <c r="V75" s="142" t="str">
        <f t="shared" ca="1" si="42"/>
        <v>Fail</v>
      </c>
      <c r="W75" s="142" t="str">
        <f t="shared" ca="1" si="43"/>
        <v>Fail</v>
      </c>
      <c r="X75" s="142" t="str">
        <f t="shared" ca="1" si="44"/>
        <v>Fail</v>
      </c>
    </row>
    <row r="76" spans="2:24">
      <c r="B76" s="147" t="s">
        <v>345</v>
      </c>
      <c r="C76" s="300" t="s">
        <v>73</v>
      </c>
      <c r="D76" s="102">
        <f ca="1">IFERROR(VLOOKUP(B76&amp;"_"&amp;C76,'MX Inflation Sensi'!$A$2:$H$500,4,FALSE),0)</f>
        <v>152061.86697842999</v>
      </c>
      <c r="E76" s="83">
        <f ca="1">VLOOKUP(C76,Sensitivities!$A$6:$AB$44,9,FALSE)</f>
        <v>152061.86697842955</v>
      </c>
      <c r="F76" s="87">
        <f t="shared" ca="1" si="35"/>
        <v>-4.3655745685100555E-10</v>
      </c>
      <c r="G76" s="102">
        <f ca="1">IFERROR(VLOOKUP(B76&amp;"_"&amp;C76,'MX Inflation Sensi'!$A$2:$H$500,6,FALSE),0)</f>
        <v>150816.25775564701</v>
      </c>
      <c r="H76" s="83">
        <f ca="1">VLOOKUP(C76,Sensitivities!$A$6:$AB$44,18,FALSE)</f>
        <v>150816.2577555746</v>
      </c>
      <c r="I76" s="87">
        <f t="shared" ca="1" si="36"/>
        <v>-7.2410330176353455E-8</v>
      </c>
      <c r="J76" s="102">
        <f ca="1">IFERROR(VLOOKUP(B76&amp;"_"&amp;C76,'MX Inflation Sensi'!$A$2:$H$500,5,FALSE),0)</f>
        <v>291307.81862236501</v>
      </c>
      <c r="K76" s="83">
        <f ca="1">VLOOKUP(C76,Sensitivities!$A$6:$AB$44,27,FALSE)</f>
        <v>291225.50190295512</v>
      </c>
      <c r="L76" s="87">
        <f t="shared" ca="1" si="37"/>
        <v>-82.316719409893267</v>
      </c>
      <c r="M76" s="102">
        <f ca="1">IFERROR(VLOOKUP(B76&amp;"_"&amp;C76,'MX Inflation Sensi'!$A$2:$H$500,7,FALSE),0)</f>
        <v>207.06251814072399</v>
      </c>
      <c r="N76" s="83">
        <f ca="1">VLOOKUP(C76,Sensitivities!$A$6:$AB$44,10,FALSE)</f>
        <v>207.06241471422254</v>
      </c>
      <c r="O76" s="87">
        <f t="shared" ca="1" si="38"/>
        <v>-1.0342650145389598E-4</v>
      </c>
      <c r="P76" s="102">
        <f ca="1">IFERROR(VLOOKUP(B76&amp;"_"&amp;C76,'MX Inflation Sensi'!$A$2:$H$500,8,FALSE),0)</f>
        <v>203.811175195256</v>
      </c>
      <c r="Q76" s="83">
        <f ca="1">VLOOKUP(C76,Sensitivities!$A$6:$AB$44,19,FALSE)</f>
        <v>205.27946654942934</v>
      </c>
      <c r="R76" s="148">
        <f t="shared" ca="1" si="39"/>
        <v>1.4682913541733456</v>
      </c>
      <c r="T76" s="142" t="str">
        <f t="shared" ca="1" si="40"/>
        <v>Pass</v>
      </c>
      <c r="U76" s="142" t="str">
        <f t="shared" ca="1" si="41"/>
        <v>Pass</v>
      </c>
      <c r="V76" s="142" t="str">
        <f t="shared" ca="1" si="42"/>
        <v>Fail</v>
      </c>
      <c r="W76" s="142" t="str">
        <f t="shared" ca="1" si="43"/>
        <v>Fail</v>
      </c>
      <c r="X76" s="142" t="str">
        <f t="shared" ca="1" si="44"/>
        <v>Fail</v>
      </c>
    </row>
    <row r="77" spans="2:24">
      <c r="B77" s="147" t="s">
        <v>345</v>
      </c>
      <c r="C77" s="300" t="s">
        <v>74</v>
      </c>
      <c r="D77" s="102">
        <f ca="1">IFERROR(VLOOKUP(B77&amp;"_"&amp;C77,'MX Inflation Sensi'!$A$2:$H$500,4,FALSE),0)</f>
        <v>0</v>
      </c>
      <c r="E77" s="83">
        <f ca="1">VLOOKUP(C77,Sensitivities!$A$6:$AB$44,9,FALSE)</f>
        <v>0</v>
      </c>
      <c r="F77" s="87">
        <f t="shared" ca="1" si="35"/>
        <v>0</v>
      </c>
      <c r="G77" s="102">
        <f ca="1">IFERROR(VLOOKUP(B77&amp;"_"&amp;C77,'MX Inflation Sensi'!$A$2:$H$500,6,FALSE),0)</f>
        <v>0</v>
      </c>
      <c r="H77" s="83">
        <f ca="1">VLOOKUP(C77,Sensitivities!$A$6:$AB$44,18,FALSE)</f>
        <v>0</v>
      </c>
      <c r="I77" s="87">
        <f t="shared" ca="1" si="36"/>
        <v>0</v>
      </c>
      <c r="J77" s="102">
        <f ca="1">IFERROR(VLOOKUP(B77&amp;"_"&amp;C77,'MX Inflation Sensi'!$A$2:$H$500,5,FALSE),0)</f>
        <v>0</v>
      </c>
      <c r="K77" s="83">
        <f ca="1">VLOOKUP(C77,Sensitivities!$A$6:$AB$44,27,FALSE)</f>
        <v>0</v>
      </c>
      <c r="L77" s="87">
        <f t="shared" ca="1" si="37"/>
        <v>0</v>
      </c>
      <c r="M77" s="102">
        <f ca="1">IFERROR(VLOOKUP(B77&amp;"_"&amp;C77,'MX Inflation Sensi'!$A$2:$H$500,7,FALSE),0)</f>
        <v>0</v>
      </c>
      <c r="N77" s="83">
        <f ca="1">VLOOKUP(C77,Sensitivities!$A$6:$AB$44,10,FALSE)</f>
        <v>0</v>
      </c>
      <c r="O77" s="87">
        <f t="shared" ca="1" si="38"/>
        <v>0</v>
      </c>
      <c r="P77" s="102">
        <f ca="1">IFERROR(VLOOKUP(B77&amp;"_"&amp;C77,'MX Inflation Sensi'!$A$2:$H$500,8,FALSE),0)</f>
        <v>0</v>
      </c>
      <c r="Q77" s="83">
        <f ca="1">VLOOKUP(C77,Sensitivities!$A$6:$AB$44,19,FALSE)</f>
        <v>0</v>
      </c>
      <c r="R77" s="148">
        <f t="shared" ca="1" si="39"/>
        <v>0</v>
      </c>
      <c r="T77" s="142" t="str">
        <f t="shared" ca="1" si="40"/>
        <v>Pass</v>
      </c>
      <c r="U77" s="142" t="str">
        <f t="shared" ca="1" si="41"/>
        <v>Pass</v>
      </c>
      <c r="V77" s="142" t="str">
        <f t="shared" ca="1" si="42"/>
        <v>Pass</v>
      </c>
      <c r="W77" s="142" t="str">
        <f t="shared" ca="1" si="43"/>
        <v>Pass</v>
      </c>
      <c r="X77" s="142" t="str">
        <f t="shared" ca="1" si="44"/>
        <v>Pass</v>
      </c>
    </row>
    <row r="78" spans="2:24">
      <c r="B78" s="147" t="s">
        <v>345</v>
      </c>
      <c r="C78" s="300" t="s">
        <v>75</v>
      </c>
      <c r="D78" s="102">
        <f ca="1">IFERROR(VLOOKUP(B78&amp;"_"&amp;C78,'MX Inflation Sensi'!$A$2:$H$500,4,FALSE),0)</f>
        <v>0</v>
      </c>
      <c r="E78" s="83">
        <f ca="1">VLOOKUP(C78,Sensitivities!$A$6:$AB$44,9,FALSE)</f>
        <v>0</v>
      </c>
      <c r="F78" s="87">
        <f t="shared" ca="1" si="35"/>
        <v>0</v>
      </c>
      <c r="G78" s="102">
        <f ca="1">IFERROR(VLOOKUP(B78&amp;"_"&amp;C78,'MX Inflation Sensi'!$A$2:$H$500,6,FALSE),0)</f>
        <v>0</v>
      </c>
      <c r="H78" s="83">
        <f ca="1">VLOOKUP(C78,Sensitivities!$A$6:$AB$44,18,FALSE)</f>
        <v>0</v>
      </c>
      <c r="I78" s="87">
        <f t="shared" ca="1" si="36"/>
        <v>0</v>
      </c>
      <c r="J78" s="102">
        <f ca="1">IFERROR(VLOOKUP(B78&amp;"_"&amp;C78,'MX Inflation Sensi'!$A$2:$H$500,5,FALSE),0)</f>
        <v>0</v>
      </c>
      <c r="K78" s="83">
        <f ca="1">VLOOKUP(C78,Sensitivities!$A$6:$AB$44,27,FALSE)</f>
        <v>0</v>
      </c>
      <c r="L78" s="87">
        <f t="shared" ca="1" si="37"/>
        <v>0</v>
      </c>
      <c r="M78" s="102">
        <f ca="1">IFERROR(VLOOKUP(B78&amp;"_"&amp;C78,'MX Inflation Sensi'!$A$2:$H$500,7,FALSE),0)</f>
        <v>0</v>
      </c>
      <c r="N78" s="83">
        <f ca="1">VLOOKUP(C78,Sensitivities!$A$6:$AB$44,10,FALSE)</f>
        <v>0</v>
      </c>
      <c r="O78" s="87">
        <f t="shared" ca="1" si="38"/>
        <v>0</v>
      </c>
      <c r="P78" s="102">
        <f ca="1">IFERROR(VLOOKUP(B78&amp;"_"&amp;C78,'MX Inflation Sensi'!$A$2:$H$500,8,FALSE),0)</f>
        <v>0</v>
      </c>
      <c r="Q78" s="83">
        <f ca="1">VLOOKUP(C78,Sensitivities!$A$6:$AB$44,19,FALSE)</f>
        <v>0</v>
      </c>
      <c r="R78" s="148">
        <f t="shared" ca="1" si="39"/>
        <v>0</v>
      </c>
      <c r="T78" s="142" t="str">
        <f t="shared" ca="1" si="40"/>
        <v>Pass</v>
      </c>
      <c r="U78" s="142" t="str">
        <f t="shared" ca="1" si="41"/>
        <v>Pass</v>
      </c>
      <c r="V78" s="142" t="str">
        <f t="shared" ca="1" si="42"/>
        <v>Pass</v>
      </c>
      <c r="W78" s="142" t="str">
        <f t="shared" ca="1" si="43"/>
        <v>Pass</v>
      </c>
      <c r="X78" s="142" t="str">
        <f t="shared" ca="1" si="44"/>
        <v>Pass</v>
      </c>
    </row>
    <row r="79" spans="2:24" ht="15.75" thickBot="1">
      <c r="B79" s="149" t="s">
        <v>345</v>
      </c>
      <c r="C79" s="301" t="s">
        <v>76</v>
      </c>
      <c r="D79" s="202">
        <f ca="1">IFERROR(VLOOKUP(B79&amp;"_"&amp;C79,'MX Inflation Sensi'!$A$2:$H$500,4,FALSE),0)</f>
        <v>0</v>
      </c>
      <c r="E79" s="150">
        <f ca="1">VLOOKUP(C79,Sensitivities!$A$6:$AB$44,9,FALSE)</f>
        <v>0</v>
      </c>
      <c r="F79" s="203">
        <f t="shared" ca="1" si="35"/>
        <v>0</v>
      </c>
      <c r="G79" s="202">
        <f ca="1">IFERROR(VLOOKUP(B79&amp;"_"&amp;C79,'MX Inflation Sensi'!$A$2:$H$500,6,FALSE),0)</f>
        <v>0</v>
      </c>
      <c r="H79" s="150">
        <f ca="1">VLOOKUP(C79,Sensitivities!$A$6:$AB$44,18,FALSE)</f>
        <v>0</v>
      </c>
      <c r="I79" s="203">
        <f t="shared" ca="1" si="36"/>
        <v>0</v>
      </c>
      <c r="J79" s="202">
        <f ca="1">IFERROR(VLOOKUP(B79&amp;"_"&amp;C79,'MX Inflation Sensi'!$A$2:$H$500,5,FALSE),0)</f>
        <v>0</v>
      </c>
      <c r="K79" s="150">
        <f ca="1">VLOOKUP(C79,Sensitivities!$A$6:$AB$44,27,FALSE)</f>
        <v>0</v>
      </c>
      <c r="L79" s="203">
        <f t="shared" ca="1" si="37"/>
        <v>0</v>
      </c>
      <c r="M79" s="202">
        <f ca="1">IFERROR(VLOOKUP(B79&amp;"_"&amp;C79,'MX Inflation Sensi'!$A$2:$H$500,7,FALSE),0)</f>
        <v>0</v>
      </c>
      <c r="N79" s="150">
        <f ca="1">VLOOKUP(C79,Sensitivities!$A$6:$AB$44,10,FALSE)</f>
        <v>0</v>
      </c>
      <c r="O79" s="203">
        <f t="shared" ca="1" si="38"/>
        <v>0</v>
      </c>
      <c r="P79" s="202">
        <f ca="1">IFERROR(VLOOKUP(B79&amp;"_"&amp;C79,'MX Inflation Sensi'!$A$2:$H$500,8,FALSE),0)</f>
        <v>0</v>
      </c>
      <c r="Q79" s="150">
        <f ca="1">VLOOKUP(C79,Sensitivities!$A$6:$AB$44,19,FALSE)</f>
        <v>0</v>
      </c>
      <c r="R79" s="153">
        <f t="shared" ca="1" si="39"/>
        <v>0</v>
      </c>
      <c r="T79" s="144" t="str">
        <f t="shared" ca="1" si="40"/>
        <v>Pass</v>
      </c>
      <c r="U79" s="144" t="str">
        <f t="shared" ca="1" si="41"/>
        <v>Pass</v>
      </c>
      <c r="V79" s="144" t="str">
        <f t="shared" ca="1" si="42"/>
        <v>Pass</v>
      </c>
      <c r="W79" s="144" t="str">
        <f t="shared" ca="1" si="43"/>
        <v>Pass</v>
      </c>
      <c r="X79" s="144" t="str">
        <f t="shared" ca="1" si="44"/>
        <v>Pass</v>
      </c>
    </row>
    <row r="84" spans="1:19">
      <c r="A84" s="178"/>
    </row>
    <row r="85" spans="1:19">
      <c r="A85" s="178"/>
    </row>
    <row r="91" spans="1:19">
      <c r="S91" s="178"/>
    </row>
    <row r="92" spans="1:19">
      <c r="S92" s="178"/>
    </row>
    <row r="93" spans="1:19">
      <c r="S93" s="178"/>
    </row>
    <row r="94" spans="1:19">
      <c r="S94" s="178"/>
    </row>
    <row r="95" spans="1:19">
      <c r="S95" s="178"/>
    </row>
    <row r="96" spans="1:19">
      <c r="S96" s="178"/>
    </row>
    <row r="97" spans="19:19">
      <c r="S97" s="178"/>
    </row>
    <row r="98" spans="19:19">
      <c r="S98" s="178"/>
    </row>
    <row r="99" spans="19:19">
      <c r="S99" s="178"/>
    </row>
    <row r="100" spans="19:19">
      <c r="S100" s="178"/>
    </row>
    <row r="101" spans="19:19">
      <c r="S101" s="178"/>
    </row>
    <row r="102" spans="19:19">
      <c r="S102" s="178"/>
    </row>
    <row r="103" spans="19:19">
      <c r="S103" s="178"/>
    </row>
    <row r="104" spans="19:19">
      <c r="S104" s="178"/>
    </row>
    <row r="105" spans="19:19">
      <c r="S105" s="178"/>
    </row>
    <row r="106" spans="19:19">
      <c r="S106" s="178"/>
    </row>
    <row r="107" spans="19:19">
      <c r="S107" s="178"/>
    </row>
    <row r="108" spans="19:19">
      <c r="S108" s="178"/>
    </row>
    <row r="109" spans="19:19">
      <c r="S109" s="178"/>
    </row>
    <row r="110" spans="19:19">
      <c r="S110" s="178"/>
    </row>
    <row r="111" spans="19:19">
      <c r="S111" s="178"/>
    </row>
    <row r="112" spans="19:19">
      <c r="S112" s="178"/>
    </row>
    <row r="113" spans="19:19">
      <c r="S113" s="178"/>
    </row>
    <row r="114" spans="19:19">
      <c r="S114" s="178"/>
    </row>
    <row r="115" spans="19:19">
      <c r="S115" s="178"/>
    </row>
    <row r="116" spans="19:19">
      <c r="S116" s="178"/>
    </row>
    <row r="117" spans="19:19">
      <c r="S117" s="178"/>
    </row>
    <row r="118" spans="19:19">
      <c r="S118" s="178"/>
    </row>
    <row r="119" spans="19:19">
      <c r="S119" s="178"/>
    </row>
    <row r="120" spans="19:19">
      <c r="S120" s="178"/>
    </row>
    <row r="121" spans="19:19">
      <c r="S121" s="178"/>
    </row>
    <row r="122" spans="19:19">
      <c r="S122" s="178"/>
    </row>
    <row r="123" spans="19:19">
      <c r="S123" s="178"/>
    </row>
    <row r="124" spans="19:19">
      <c r="S124" s="178"/>
    </row>
    <row r="125" spans="19:19">
      <c r="S125" s="178"/>
    </row>
    <row r="126" spans="19:19">
      <c r="S126" s="178"/>
    </row>
    <row r="127" spans="19:19">
      <c r="S127" s="178"/>
    </row>
    <row r="128" spans="19:19">
      <c r="S128" s="178"/>
    </row>
    <row r="130" spans="19:19">
      <c r="S130" s="178"/>
    </row>
    <row r="131" spans="19:19">
      <c r="S131" s="178"/>
    </row>
    <row r="132" spans="19:19">
      <c r="S132" s="178"/>
    </row>
    <row r="133" spans="19:19">
      <c r="S133" s="178"/>
    </row>
    <row r="134" spans="19:19">
      <c r="S134" s="178"/>
    </row>
    <row r="135" spans="19:19">
      <c r="S135" s="178"/>
    </row>
    <row r="136" spans="19:19">
      <c r="S136" s="178"/>
    </row>
    <row r="137" spans="19:19">
      <c r="S137" s="178"/>
    </row>
    <row r="138" spans="19:19">
      <c r="S138" s="178"/>
    </row>
    <row r="139" spans="19:19">
      <c r="S139" s="178"/>
    </row>
    <row r="140" spans="19:19">
      <c r="S140" s="178"/>
    </row>
    <row r="141" spans="19:19">
      <c r="S141" s="178"/>
    </row>
    <row r="142" spans="19:19">
      <c r="S142" s="178"/>
    </row>
    <row r="143" spans="19:19">
      <c r="S143" s="178"/>
    </row>
    <row r="144" spans="19:19">
      <c r="S144" s="178"/>
    </row>
    <row r="145" spans="19:19">
      <c r="S145" s="178"/>
    </row>
    <row r="146" spans="19:19">
      <c r="S146" s="178"/>
    </row>
    <row r="147" spans="19:19">
      <c r="S147" s="178"/>
    </row>
    <row r="148" spans="19:19">
      <c r="S148" s="178"/>
    </row>
    <row r="149" spans="19:19">
      <c r="S149" s="178"/>
    </row>
    <row r="150" spans="19:19">
      <c r="S150" s="178"/>
    </row>
    <row r="151" spans="19:19">
      <c r="S151" s="178"/>
    </row>
    <row r="152" spans="19:19">
      <c r="S152" s="178"/>
    </row>
    <row r="153" spans="19:19">
      <c r="S153" s="178"/>
    </row>
    <row r="154" spans="19:19">
      <c r="S154" s="178"/>
    </row>
    <row r="155" spans="19:19">
      <c r="S155" s="178"/>
    </row>
    <row r="156" spans="19:19">
      <c r="S156" s="178"/>
    </row>
    <row r="157" spans="19:19">
      <c r="S157" s="178"/>
    </row>
    <row r="158" spans="19:19">
      <c r="S158" s="178"/>
    </row>
    <row r="159" spans="19:19">
      <c r="S159" s="178"/>
    </row>
    <row r="160" spans="19:19">
      <c r="S160" s="178"/>
    </row>
    <row r="161" spans="19:19">
      <c r="S161" s="178"/>
    </row>
    <row r="162" spans="19:19">
      <c r="S162" s="178"/>
    </row>
    <row r="163" spans="19:19">
      <c r="S163" s="178"/>
    </row>
    <row r="164" spans="19:19">
      <c r="S164" s="178"/>
    </row>
    <row r="165" spans="19:19">
      <c r="S165" s="178"/>
    </row>
    <row r="166" spans="19:19">
      <c r="S166" s="178"/>
    </row>
    <row r="167" spans="19:19">
      <c r="S167" s="178"/>
    </row>
  </sheetData>
  <mergeCells count="5">
    <mergeCell ref="C3:E3"/>
    <mergeCell ref="F3:H3"/>
    <mergeCell ref="I3:K3"/>
    <mergeCell ref="L3:N3"/>
    <mergeCell ref="O3:Q3"/>
  </mergeCells>
  <conditionalFormatting sqref="T65:X79 T48:X62 T31:X45 T12:X28 E5:E8 H5:H8 K5:K8 N5:N8 Q5:Q8">
    <cfRule type="cellIs" dxfId="3" priority="59" operator="equal">
      <formula>"Pass"</formula>
    </cfRule>
    <cfRule type="cellIs" dxfId="2" priority="60" operator="equal">
      <formula>"Fail"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B1:N124"/>
  <sheetViews>
    <sheetView topLeftCell="A52" workbookViewId="0">
      <selection activeCell="J84" sqref="J84"/>
    </sheetView>
  </sheetViews>
  <sheetFormatPr defaultRowHeight="15"/>
  <cols>
    <col min="1" max="1" width="2.42578125" style="138" customWidth="1"/>
    <col min="2" max="2" width="19.5703125" style="138" bestFit="1" customWidth="1"/>
    <col min="3" max="4" width="14.7109375" style="138" bestFit="1" customWidth="1"/>
    <col min="5" max="5" width="15.42578125" style="138" customWidth="1"/>
    <col min="6" max="6" width="12" style="138" bestFit="1" customWidth="1"/>
    <col min="7" max="7" width="16.42578125" style="138" bestFit="1" customWidth="1"/>
    <col min="8" max="8" width="17" style="138" bestFit="1" customWidth="1"/>
    <col min="9" max="9" width="9.42578125" style="138" customWidth="1"/>
    <col min="10" max="10" width="9.140625" style="138"/>
    <col min="11" max="11" width="13.42578125" style="138" bestFit="1" customWidth="1"/>
    <col min="12" max="12" width="10.7109375" style="138" bestFit="1" customWidth="1"/>
    <col min="13" max="13" width="13.42578125" style="169" bestFit="1" customWidth="1"/>
    <col min="14" max="14" width="14.28515625" style="139" bestFit="1" customWidth="1"/>
    <col min="15" max="15" width="10.5703125" style="138" bestFit="1" customWidth="1"/>
    <col min="16" max="16384" width="9.140625" style="138"/>
  </cols>
  <sheetData>
    <row r="1" spans="2:13" ht="15.75" thickBot="1">
      <c r="E1" s="112" t="s">
        <v>123</v>
      </c>
      <c r="F1" s="113">
        <v>5.0000000000000001E-3</v>
      </c>
    </row>
    <row r="2" spans="2:13" ht="15.75" thickBot="1"/>
    <row r="3" spans="2:13">
      <c r="B3" s="178"/>
      <c r="C3" s="302" t="s">
        <v>339</v>
      </c>
      <c r="D3" s="303"/>
      <c r="E3" s="303"/>
      <c r="F3" s="302" t="s">
        <v>340</v>
      </c>
      <c r="G3" s="303"/>
      <c r="H3" s="304"/>
    </row>
    <row r="4" spans="2:13" ht="15.75" thickBot="1">
      <c r="B4" s="178"/>
      <c r="C4" s="217" t="s">
        <v>329</v>
      </c>
      <c r="D4" s="218" t="s">
        <v>330</v>
      </c>
      <c r="E4" s="213" t="s">
        <v>331</v>
      </c>
      <c r="F4" s="217" t="s">
        <v>329</v>
      </c>
      <c r="G4" s="218" t="s">
        <v>330</v>
      </c>
      <c r="H4" s="219" t="s">
        <v>331</v>
      </c>
    </row>
    <row r="5" spans="2:13">
      <c r="B5" s="214" t="str">
        <f>B10</f>
        <v>EUR ZERO EONIA</v>
      </c>
      <c r="C5" s="220">
        <f ca="1">MIN(F10:F46)</f>
        <v>-57197.869615840085</v>
      </c>
      <c r="D5" s="221">
        <f ca="1">MAX(F10:F46)</f>
        <v>8495.1003286451523</v>
      </c>
      <c r="E5" s="222" t="str">
        <f ca="1">IF(AND(ABS(C5)&lt;$F$1,ABS(D5)&lt;$F$1),"Pass","Fail")</f>
        <v>Fail</v>
      </c>
      <c r="F5" s="220">
        <f ca="1">MIN(I10:I46)</f>
        <v>-4.5704483242388996</v>
      </c>
      <c r="G5" s="221">
        <f ca="1">MAX(I10:I46)</f>
        <v>173.21010857730624</v>
      </c>
      <c r="H5" s="230" t="str">
        <f ca="1">IF(AND(ABS(F5)&lt;$F$1,ABS(G5)&lt;$F$1),"Pass","Fail")</f>
        <v>Fail</v>
      </c>
    </row>
    <row r="6" spans="2:13">
      <c r="B6" s="215" t="str">
        <f>B49</f>
        <v>GBP ZERO SONIA</v>
      </c>
      <c r="C6" s="209">
        <f ca="1">MIN(F49:F84)</f>
        <v>-1.7949787434190512E-7</v>
      </c>
      <c r="D6" s="207">
        <f ca="1">MAX(F49:F84)</f>
        <v>2.9578222893178463E-7</v>
      </c>
      <c r="E6" s="98" t="str">
        <f ca="1">IF(AND(ABS(C6)&lt;$F$1,ABS(D6)&lt;$F$1),"Pass","Fail")</f>
        <v>Pass</v>
      </c>
      <c r="F6" s="209">
        <f ca="1">MIN(I49:I84)</f>
        <v>-1.6791139806696109E-9</v>
      </c>
      <c r="G6" s="207">
        <f ca="1">MAX(I49:I84)</f>
        <v>8.7950212571286102E-3</v>
      </c>
      <c r="H6" s="231" t="str">
        <f ca="1">IF(AND(ABS(F6)&lt;$F$1,ABS(G6)&lt;$F$1),"Pass","Fail")</f>
        <v>Fail</v>
      </c>
    </row>
    <row r="7" spans="2:13" ht="15.75" thickBot="1">
      <c r="B7" s="216" t="str">
        <f>B88</f>
        <v>USD ZERO FEDFUNDS</v>
      </c>
      <c r="C7" s="210">
        <f ca="1">MIN(F88:F123)</f>
        <v>-395.21998563716727</v>
      </c>
      <c r="D7" s="211">
        <f ca="1">MAX(F88:F123)</f>
        <v>27846.801783979699</v>
      </c>
      <c r="E7" s="223" t="str">
        <f ca="1">IF(AND(ABS(C7)&lt;$F$1,ABS(D7)&lt;$F$1),"Pass","Fail")</f>
        <v>Fail</v>
      </c>
      <c r="F7" s="210">
        <f ca="1">MIN(I88:I123)</f>
        <v>-25.107897170195201</v>
      </c>
      <c r="G7" s="211">
        <f ca="1">MAX(I88:I123)</f>
        <v>2.5828747762238813E-2</v>
      </c>
      <c r="H7" s="232" t="str">
        <f ca="1">IF(AND(ABS(F7)&lt;$F$1,ABS(G7)&lt;$F$1),"Pass","Fail")</f>
        <v>Fail</v>
      </c>
    </row>
    <row r="8" spans="2:13" ht="15.75" thickBot="1"/>
    <row r="9" spans="2:13" ht="15.75" thickBot="1">
      <c r="B9" s="289" t="s">
        <v>255</v>
      </c>
      <c r="C9" s="278" t="s">
        <v>0</v>
      </c>
      <c r="D9" s="278" t="s">
        <v>335</v>
      </c>
      <c r="E9" s="278" t="s">
        <v>336</v>
      </c>
      <c r="F9" s="278" t="s">
        <v>260</v>
      </c>
      <c r="G9" s="278" t="s">
        <v>337</v>
      </c>
      <c r="H9" s="278" t="s">
        <v>338</v>
      </c>
      <c r="I9" s="279" t="s">
        <v>261</v>
      </c>
      <c r="K9" s="152" t="s">
        <v>262</v>
      </c>
      <c r="L9" s="59"/>
      <c r="M9" s="152" t="s">
        <v>263</v>
      </c>
    </row>
    <row r="10" spans="2:13">
      <c r="B10" s="284" t="s">
        <v>384</v>
      </c>
      <c r="C10" s="270" t="str">
        <f ca="1">Sensitivities!B28</f>
        <v>1D</v>
      </c>
      <c r="D10" s="297">
        <f ca="1">IFERROR(VLOOKUP(B10&amp;"_"&amp;C10,'MX IRS Sensi'!$A$2:$E$200,4,FALSE),0)</f>
        <v>9.0720478145674202E-2</v>
      </c>
      <c r="E10" s="297">
        <f ca="1">VLOOKUP(C10,Sensitivities!$B$28:$D$64,2,FALSE)</f>
        <v>9.0720478145674716E-2</v>
      </c>
      <c r="F10" s="295">
        <f t="shared" ref="F10:F25" ca="1" si="0">E10-D10</f>
        <v>5.134781488891349E-16</v>
      </c>
      <c r="G10" s="297">
        <f ca="1">IFERROR(VLOOKUP(B10&amp;"_"&amp;C10,'MX IRS Sensi'!$A$2:$E$200,5,FALSE),0)</f>
        <v>-2.4854920899209999E-8</v>
      </c>
      <c r="H10" s="297">
        <f ca="1">VLOOKUP(C10,Sensitivities!$B$28:$D$64,3,FALSE)</f>
        <v>-2.4854925519362933E-8</v>
      </c>
      <c r="I10" s="293">
        <f ca="1">H10-G10</f>
        <v>-4.6201529336022223E-15</v>
      </c>
      <c r="K10" s="288" t="str">
        <f ca="1">IF(ABS(F10)&lt;$F$1,"Pass","Fail")</f>
        <v>Pass</v>
      </c>
      <c r="L10" s="59"/>
      <c r="M10" s="288" t="str">
        <f ca="1">IF(ABS(I10)&lt;$F$1,"Pass","Fail")</f>
        <v>Pass</v>
      </c>
    </row>
    <row r="11" spans="2:13">
      <c r="B11" s="285" t="s">
        <v>384</v>
      </c>
      <c r="C11" s="272" t="str">
        <f ca="1">Sensitivities!B29</f>
        <v>7D</v>
      </c>
      <c r="D11" s="280">
        <f ca="1">IFERROR(VLOOKUP(B11&amp;"_"&amp;C11,'MX IRS Sensi'!$A$2:$E$200,4,FALSE),0)</f>
        <v>0</v>
      </c>
      <c r="E11" s="280">
        <f ca="1">VLOOKUP(C11,Sensitivities!$B$28:$D$64,2,FALSE)</f>
        <v>0</v>
      </c>
      <c r="F11" s="296">
        <f t="shared" ca="1" si="0"/>
        <v>0</v>
      </c>
      <c r="G11" s="280">
        <f ca="1">IFERROR(VLOOKUP(B11&amp;"_"&amp;C11,'MX IRS Sensi'!$A$2:$E$200,5,FALSE),0)</f>
        <v>0</v>
      </c>
      <c r="H11" s="280">
        <f ca="1">VLOOKUP(C11,Sensitivities!$B$28:$D$64,3,FALSE)</f>
        <v>0</v>
      </c>
      <c r="I11" s="294">
        <f t="shared" ref="I11:I46" ca="1" si="1">H11-G11</f>
        <v>0</v>
      </c>
      <c r="K11" s="282" t="str">
        <f t="shared" ref="K11:K46" ca="1" si="2">IF(ABS(F11)&lt;$F$1,"Pass","Fail")</f>
        <v>Pass</v>
      </c>
      <c r="L11" s="59"/>
      <c r="M11" s="282" t="str">
        <f t="shared" ref="M11:M46" ca="1" si="3">IF(ABS(I11)&lt;$F$1,"Pass","Fail")</f>
        <v>Pass</v>
      </c>
    </row>
    <row r="12" spans="2:13">
      <c r="B12" s="285" t="s">
        <v>384</v>
      </c>
      <c r="C12" s="272" t="str">
        <f ca="1">Sensitivities!B30</f>
        <v>14D</v>
      </c>
      <c r="D12" s="280">
        <f ca="1">IFERROR(VLOOKUP(B12&amp;"_"&amp;C12,'MX IRS Sensi'!$A$2:$E$200,4,FALSE),0)</f>
        <v>0</v>
      </c>
      <c r="E12" s="280">
        <f ca="1">VLOOKUP(C12,Sensitivities!$B$28:$D$64,2,FALSE)</f>
        <v>0</v>
      </c>
      <c r="F12" s="296">
        <f t="shared" ca="1" si="0"/>
        <v>0</v>
      </c>
      <c r="G12" s="280">
        <f ca="1">IFERROR(VLOOKUP(B12&amp;"_"&amp;C12,'MX IRS Sensi'!$A$2:$E$200,5,FALSE),0)</f>
        <v>0</v>
      </c>
      <c r="H12" s="280">
        <f ca="1">VLOOKUP(C12,Sensitivities!$B$28:$D$64,3,FALSE)</f>
        <v>0</v>
      </c>
      <c r="I12" s="294">
        <f t="shared" ca="1" si="1"/>
        <v>0</v>
      </c>
      <c r="K12" s="282" t="str">
        <f t="shared" ca="1" si="2"/>
        <v>Pass</v>
      </c>
      <c r="L12" s="59"/>
      <c r="M12" s="282" t="str">
        <f t="shared" ca="1" si="3"/>
        <v>Pass</v>
      </c>
    </row>
    <row r="13" spans="2:13">
      <c r="B13" s="285" t="s">
        <v>384</v>
      </c>
      <c r="C13" s="272" t="str">
        <f ca="1">Sensitivities!B31</f>
        <v>21D</v>
      </c>
      <c r="D13" s="280">
        <f ca="1">IFERROR(VLOOKUP(B13&amp;"_"&amp;C13,'MX IRS Sensi'!$A$2:$E$200,4,FALSE),0)</f>
        <v>0</v>
      </c>
      <c r="E13" s="280">
        <f ca="1">VLOOKUP(C13,Sensitivities!$B$28:$D$64,2,FALSE)</f>
        <v>0</v>
      </c>
      <c r="F13" s="296">
        <f t="shared" ca="1" si="0"/>
        <v>0</v>
      </c>
      <c r="G13" s="280">
        <f ca="1">IFERROR(VLOOKUP(B13&amp;"_"&amp;C13,'MX IRS Sensi'!$A$2:$E$200,5,FALSE),0)</f>
        <v>0</v>
      </c>
      <c r="H13" s="280">
        <f ca="1">VLOOKUP(C13,Sensitivities!$B$28:$D$64,3,FALSE)</f>
        <v>0</v>
      </c>
      <c r="I13" s="294">
        <f t="shared" ca="1" si="1"/>
        <v>0</v>
      </c>
      <c r="K13" s="282" t="str">
        <f t="shared" ca="1" si="2"/>
        <v>Pass</v>
      </c>
      <c r="L13" s="59"/>
      <c r="M13" s="282" t="str">
        <f t="shared" ca="1" si="3"/>
        <v>Pass</v>
      </c>
    </row>
    <row r="14" spans="2:13">
      <c r="B14" s="285" t="s">
        <v>384</v>
      </c>
      <c r="C14" s="272" t="str">
        <f ca="1">Sensitivities!B32</f>
        <v>30D</v>
      </c>
      <c r="D14" s="280">
        <f ca="1">IFERROR(VLOOKUP(B14&amp;"_"&amp;C14,'MX IRS Sensi'!$A$2:$E$200,4,FALSE),0)</f>
        <v>0</v>
      </c>
      <c r="E14" s="280">
        <f ca="1">VLOOKUP(C14,Sensitivities!$B$28:$D$64,2,FALSE)</f>
        <v>0</v>
      </c>
      <c r="F14" s="296">
        <f t="shared" ca="1" si="0"/>
        <v>0</v>
      </c>
      <c r="G14" s="280">
        <f ca="1">IFERROR(VLOOKUP(B14&amp;"_"&amp;C14,'MX IRS Sensi'!$A$2:$E$200,5,FALSE),0)</f>
        <v>0</v>
      </c>
      <c r="H14" s="280">
        <f ca="1">VLOOKUP(C14,Sensitivities!$B$28:$D$64,3,FALSE)</f>
        <v>0</v>
      </c>
      <c r="I14" s="294">
        <f t="shared" ca="1" si="1"/>
        <v>0</v>
      </c>
      <c r="K14" s="282" t="str">
        <f t="shared" ca="1" si="2"/>
        <v>Pass</v>
      </c>
      <c r="L14" s="59"/>
      <c r="M14" s="282" t="str">
        <f t="shared" ca="1" si="3"/>
        <v>Pass</v>
      </c>
    </row>
    <row r="15" spans="2:13">
      <c r="B15" s="285" t="s">
        <v>384</v>
      </c>
      <c r="C15" s="272" t="str">
        <f ca="1">Sensitivities!B33</f>
        <v>60D</v>
      </c>
      <c r="D15" s="280">
        <f ca="1">IFERROR(VLOOKUP(B15&amp;"_"&amp;C15,'MX IRS Sensi'!$A$2:$E$200,4,FALSE),0)</f>
        <v>6.0457034409533996</v>
      </c>
      <c r="E15" s="280">
        <f ca="1">VLOOKUP(C15,Sensitivities!$B$28:$D$64,2,FALSE)</f>
        <v>0</v>
      </c>
      <c r="F15" s="296">
        <f t="shared" ca="1" si="0"/>
        <v>-6.0457034409533996</v>
      </c>
      <c r="G15" s="280">
        <f ca="1">IFERROR(VLOOKUP(B15&amp;"_"&amp;C15,'MX IRS Sensi'!$A$2:$E$200,5,FALSE),0)</f>
        <v>-1.04350489765759E-4</v>
      </c>
      <c r="H15" s="280">
        <f ca="1">VLOOKUP(C15,Sensitivities!$B$28:$D$64,3,FALSE)</f>
        <v>0</v>
      </c>
      <c r="I15" s="294">
        <f t="shared" ca="1" si="1"/>
        <v>1.04350489765759E-4</v>
      </c>
      <c r="K15" s="282" t="str">
        <f t="shared" ca="1" si="2"/>
        <v>Fail</v>
      </c>
      <c r="L15" s="59"/>
      <c r="M15" s="282" t="str">
        <f t="shared" ca="1" si="3"/>
        <v>Pass</v>
      </c>
    </row>
    <row r="16" spans="2:13">
      <c r="B16" s="285" t="s">
        <v>384</v>
      </c>
      <c r="C16" s="272" t="str">
        <f ca="1">Sensitivities!B34</f>
        <v>91D</v>
      </c>
      <c r="D16" s="280">
        <f ca="1">IFERROR(VLOOKUP(B16&amp;"_"&amp;C16,'MX IRS Sensi'!$A$2:$E$200,4,FALSE),0)</f>
        <v>1.5421104470462801</v>
      </c>
      <c r="E16" s="280">
        <f ca="1">VLOOKUP(C16,Sensitivities!$B$28:$D$64,2,FALSE)</f>
        <v>0.89435650694433255</v>
      </c>
      <c r="F16" s="296">
        <f t="shared" ca="1" si="0"/>
        <v>-0.64775394010194753</v>
      </c>
      <c r="G16" s="280">
        <f ca="1">IFERROR(VLOOKUP(B16&amp;"_"&amp;C16,'MX IRS Sensi'!$A$2:$E$200,5,FALSE),0)</f>
        <v>-3.3723092429660499E-5</v>
      </c>
      <c r="H16" s="280">
        <f ca="1">VLOOKUP(C16,Sensitivities!$B$28:$D$64,3,FALSE)</f>
        <v>-2.2542684558596876E-5</v>
      </c>
      <c r="I16" s="294">
        <f t="shared" ca="1" si="1"/>
        <v>1.1180407871063622E-5</v>
      </c>
      <c r="K16" s="282" t="str">
        <f t="shared" ca="1" si="2"/>
        <v>Fail</v>
      </c>
      <c r="L16" s="59"/>
      <c r="M16" s="282" t="str">
        <f t="shared" ca="1" si="3"/>
        <v>Pass</v>
      </c>
    </row>
    <row r="17" spans="2:13">
      <c r="B17" s="285" t="s">
        <v>384</v>
      </c>
      <c r="C17" s="272" t="str">
        <f ca="1">Sensitivities!B35</f>
        <v>121D</v>
      </c>
      <c r="D17" s="280">
        <f ca="1">IFERROR(VLOOKUP(B17&amp;"_"&amp;C17,'MX IRS Sensi'!$A$2:$E$200,4,FALSE),0)</f>
        <v>6.5948092952752697</v>
      </c>
      <c r="E17" s="280">
        <f ca="1">VLOOKUP(C17,Sensitivities!$B$28:$D$64,2,FALSE)</f>
        <v>6.5948092952752049</v>
      </c>
      <c r="F17" s="296">
        <f t="shared" ca="1" si="0"/>
        <v>-6.4837024638109142E-14</v>
      </c>
      <c r="G17" s="280">
        <f ca="1">IFERROR(VLOOKUP(B17&amp;"_"&amp;C17,'MX IRS Sensi'!$A$2:$E$200,5,FALSE),0)</f>
        <v>-2.27369124244925E-4</v>
      </c>
      <c r="H17" s="280">
        <f ca="1">VLOOKUP(C17,Sensitivities!$B$28:$D$64,3,FALSE)</f>
        <v>-2.2736915487670751E-4</v>
      </c>
      <c r="I17" s="294">
        <f t="shared" ca="1" si="1"/>
        <v>-3.0631782510894337E-11</v>
      </c>
      <c r="K17" s="282" t="str">
        <f t="shared" ca="1" si="2"/>
        <v>Pass</v>
      </c>
      <c r="L17" s="59"/>
      <c r="M17" s="282" t="str">
        <f t="shared" ca="1" si="3"/>
        <v>Pass</v>
      </c>
    </row>
    <row r="18" spans="2:13">
      <c r="B18" s="285" t="s">
        <v>384</v>
      </c>
      <c r="C18" s="272" t="str">
        <f ca="1">Sensitivities!B36</f>
        <v>152D</v>
      </c>
      <c r="D18" s="280">
        <f ca="1">IFERROR(VLOOKUP(B18&amp;"_"&amp;C18,'MX IRS Sensi'!$A$2:$E$200,4,FALSE),0)</f>
        <v>1.2623018107164401</v>
      </c>
      <c r="E18" s="280">
        <f ca="1">VLOOKUP(C18,Sensitivities!$B$28:$D$64,2,FALSE)</f>
        <v>1.262301810716423</v>
      </c>
      <c r="F18" s="296">
        <f t="shared" ca="1" si="0"/>
        <v>-1.7097434579227411E-14</v>
      </c>
      <c r="G18" s="280">
        <f ca="1">IFERROR(VLOOKUP(B18&amp;"_"&amp;C18,'MX IRS Sensi'!$A$2:$E$200,5,FALSE),0)</f>
        <v>-4.3575346830859702E-5</v>
      </c>
      <c r="H18" s="280">
        <f ca="1">VLOOKUP(C18,Sensitivities!$B$28:$D$64,3,FALSE)</f>
        <v>-4.3575350178155972E-5</v>
      </c>
      <c r="I18" s="294">
        <f t="shared" ca="1" si="1"/>
        <v>-3.3472962696436993E-12</v>
      </c>
      <c r="K18" s="282" t="str">
        <f t="shared" ca="1" si="2"/>
        <v>Pass</v>
      </c>
      <c r="L18" s="59"/>
      <c r="M18" s="282" t="str">
        <f t="shared" ca="1" si="3"/>
        <v>Pass</v>
      </c>
    </row>
    <row r="19" spans="2:13">
      <c r="B19" s="285" t="s">
        <v>384</v>
      </c>
      <c r="C19" s="272" t="str">
        <f ca="1">Sensitivities!B37</f>
        <v>182D</v>
      </c>
      <c r="D19" s="280">
        <f ca="1">IFERROR(VLOOKUP(B19&amp;"_"&amp;C19,'MX IRS Sensi'!$A$2:$E$200,4,FALSE),0)</f>
        <v>0</v>
      </c>
      <c r="E19" s="280">
        <f ca="1">VLOOKUP(C19,Sensitivities!$B$28:$D$64,2,FALSE)</f>
        <v>0</v>
      </c>
      <c r="F19" s="296">
        <f t="shared" ca="1" si="0"/>
        <v>0</v>
      </c>
      <c r="G19" s="280">
        <f ca="1">IFERROR(VLOOKUP(B19&amp;"_"&amp;C19,'MX IRS Sensi'!$A$2:$E$200,5,FALSE),0)</f>
        <v>0</v>
      </c>
      <c r="H19" s="280">
        <f ca="1">VLOOKUP(C19,Sensitivities!$B$28:$D$64,3,FALSE)</f>
        <v>0</v>
      </c>
      <c r="I19" s="294">
        <f t="shared" ca="1" si="1"/>
        <v>0</v>
      </c>
      <c r="K19" s="282" t="str">
        <f t="shared" ca="1" si="2"/>
        <v>Pass</v>
      </c>
      <c r="L19" s="59"/>
      <c r="M19" s="282" t="str">
        <f t="shared" ca="1" si="3"/>
        <v>Pass</v>
      </c>
    </row>
    <row r="20" spans="2:13">
      <c r="B20" s="285" t="s">
        <v>384</v>
      </c>
      <c r="C20" s="272" t="str">
        <f ca="1">Sensitivities!B38</f>
        <v>212D</v>
      </c>
      <c r="D20" s="280">
        <f ca="1">IFERROR(VLOOKUP(B20&amp;"_"&amp;C20,'MX IRS Sensi'!$A$2:$E$200,4,FALSE),0)</f>
        <v>0</v>
      </c>
      <c r="E20" s="280">
        <f ca="1">VLOOKUP(C20,Sensitivities!$B$28:$D$64,2,FALSE)</f>
        <v>0</v>
      </c>
      <c r="F20" s="296">
        <f t="shared" ca="1" si="0"/>
        <v>0</v>
      </c>
      <c r="G20" s="280">
        <f ca="1">IFERROR(VLOOKUP(B20&amp;"_"&amp;C20,'MX IRS Sensi'!$A$2:$E$200,5,FALSE),0)</f>
        <v>0</v>
      </c>
      <c r="H20" s="280">
        <f ca="1">VLOOKUP(C20,Sensitivities!$B$28:$D$64,3,FALSE)</f>
        <v>0</v>
      </c>
      <c r="I20" s="294">
        <f t="shared" ca="1" si="1"/>
        <v>0</v>
      </c>
      <c r="K20" s="282" t="str">
        <f t="shared" ca="1" si="2"/>
        <v>Pass</v>
      </c>
      <c r="L20" s="59"/>
      <c r="M20" s="282" t="str">
        <f t="shared" ca="1" si="3"/>
        <v>Pass</v>
      </c>
    </row>
    <row r="21" spans="2:13">
      <c r="B21" s="285" t="s">
        <v>384</v>
      </c>
      <c r="C21" s="272" t="str">
        <f ca="1">Sensitivities!B39</f>
        <v>243D</v>
      </c>
      <c r="D21" s="280">
        <f ca="1">IFERROR(VLOOKUP(B21&amp;"_"&amp;C21,'MX IRS Sensi'!$A$2:$E$200,4,FALSE),0)</f>
        <v>-42.0772358923629</v>
      </c>
      <c r="E21" s="280">
        <f ca="1">VLOOKUP(C21,Sensitivities!$B$28:$D$64,2,FALSE)</f>
        <v>-42.077235892362744</v>
      </c>
      <c r="F21" s="296">
        <f t="shared" ca="1" si="0"/>
        <v>1.5631940186722204E-13</v>
      </c>
      <c r="G21" s="280">
        <f ca="1">IFERROR(VLOOKUP(B21&amp;"_"&amp;C21,'MX IRS Sensi'!$A$2:$E$200,5,FALSE),0)</f>
        <v>2.8474176430037801E-3</v>
      </c>
      <c r="H21" s="280">
        <f ca="1">VLOOKUP(C21,Sensitivities!$B$28:$D$64,3,FALSE)</f>
        <v>2.8474184288804381E-3</v>
      </c>
      <c r="I21" s="294">
        <f t="shared" ca="1" si="1"/>
        <v>7.8587665802015705E-10</v>
      </c>
      <c r="K21" s="282" t="str">
        <f t="shared" ca="1" si="2"/>
        <v>Pass</v>
      </c>
      <c r="L21" s="59"/>
      <c r="M21" s="282" t="str">
        <f t="shared" ca="1" si="3"/>
        <v>Pass</v>
      </c>
    </row>
    <row r="22" spans="2:13">
      <c r="B22" s="285" t="s">
        <v>384</v>
      </c>
      <c r="C22" s="272" t="str">
        <f ca="1">Sensitivities!B40</f>
        <v>273D</v>
      </c>
      <c r="D22" s="280">
        <f ca="1">IFERROR(VLOOKUP(B22&amp;"_"&amp;C22,'MX IRS Sensi'!$A$2:$E$200,4,FALSE),0)</f>
        <v>-6.4734209065173598</v>
      </c>
      <c r="E22" s="280">
        <f ca="1">VLOOKUP(C22,Sensitivities!$B$28:$D$64,2,FALSE)</f>
        <v>-6.4734209065173456</v>
      </c>
      <c r="F22" s="296">
        <f t="shared" ca="1" si="0"/>
        <v>1.4210854715202004E-14</v>
      </c>
      <c r="G22" s="280">
        <f ca="1">IFERROR(VLOOKUP(B22&amp;"_"&amp;C22,'MX IRS Sensi'!$A$2:$E$200,5,FALSE),0)</f>
        <v>4.3806430802817398E-4</v>
      </c>
      <c r="H22" s="280">
        <f ca="1">VLOOKUP(C22,Sensitivities!$B$28:$D$64,3,FALSE)</f>
        <v>4.3806437367391353E-4</v>
      </c>
      <c r="I22" s="294">
        <f t="shared" ca="1" si="1"/>
        <v>6.5645739549553134E-11</v>
      </c>
      <c r="K22" s="282" t="str">
        <f t="shared" ca="1" si="2"/>
        <v>Pass</v>
      </c>
      <c r="L22" s="59"/>
      <c r="M22" s="282" t="str">
        <f t="shared" ca="1" si="3"/>
        <v>Pass</v>
      </c>
    </row>
    <row r="23" spans="2:13">
      <c r="B23" s="285" t="s">
        <v>384</v>
      </c>
      <c r="C23" s="272" t="str">
        <f ca="1">Sensitivities!B41</f>
        <v>304D</v>
      </c>
      <c r="D23" s="280">
        <f ca="1">IFERROR(VLOOKUP(B23&amp;"_"&amp;C23,'MX IRS Sensi'!$A$2:$E$200,4,FALSE),0)</f>
        <v>0</v>
      </c>
      <c r="E23" s="280">
        <f ca="1">VLOOKUP(C23,Sensitivities!$B$28:$D$64,2,FALSE)</f>
        <v>0</v>
      </c>
      <c r="F23" s="296">
        <f t="shared" ca="1" si="0"/>
        <v>0</v>
      </c>
      <c r="G23" s="280">
        <f ca="1">IFERROR(VLOOKUP(B23&amp;"_"&amp;C23,'MX IRS Sensi'!$A$2:$E$200,5,FALSE),0)</f>
        <v>0</v>
      </c>
      <c r="H23" s="280">
        <f ca="1">VLOOKUP(C23,Sensitivities!$B$28:$D$64,3,FALSE)</f>
        <v>0</v>
      </c>
      <c r="I23" s="294">
        <f t="shared" ca="1" si="1"/>
        <v>0</v>
      </c>
      <c r="K23" s="282" t="str">
        <f t="shared" ca="1" si="2"/>
        <v>Pass</v>
      </c>
      <c r="L23" s="59"/>
      <c r="M23" s="282" t="str">
        <f t="shared" ca="1" si="3"/>
        <v>Pass</v>
      </c>
    </row>
    <row r="24" spans="2:13">
      <c r="B24" s="285" t="s">
        <v>384</v>
      </c>
      <c r="C24" s="272" t="str">
        <f ca="1">Sensitivities!B42</f>
        <v>334D</v>
      </c>
      <c r="D24" s="280">
        <f ca="1">IFERROR(VLOOKUP(B24&amp;"_"&amp;C24,'MX IRS Sensi'!$A$2:$E$200,4,FALSE),0)</f>
        <v>0</v>
      </c>
      <c r="E24" s="280">
        <f ca="1">VLOOKUP(C24,Sensitivities!$B$28:$D$64,2,FALSE)</f>
        <v>0</v>
      </c>
      <c r="F24" s="296">
        <f t="shared" ca="1" si="0"/>
        <v>0</v>
      </c>
      <c r="G24" s="280">
        <f ca="1">IFERROR(VLOOKUP(B24&amp;"_"&amp;C24,'MX IRS Sensi'!$A$2:$E$200,5,FALSE),0)</f>
        <v>0</v>
      </c>
      <c r="H24" s="280">
        <f ca="1">VLOOKUP(C24,Sensitivities!$B$28:$D$64,3,FALSE)</f>
        <v>0</v>
      </c>
      <c r="I24" s="294">
        <f t="shared" ca="1" si="1"/>
        <v>0</v>
      </c>
      <c r="K24" s="282" t="str">
        <f t="shared" ca="1" si="2"/>
        <v>Pass</v>
      </c>
      <c r="L24" s="59"/>
      <c r="M24" s="282" t="str">
        <f t="shared" ca="1" si="3"/>
        <v>Pass</v>
      </c>
    </row>
    <row r="25" spans="2:13">
      <c r="B25" s="285" t="s">
        <v>384</v>
      </c>
      <c r="C25" s="272" t="str">
        <f ca="1">Sensitivities!B43</f>
        <v>365D</v>
      </c>
      <c r="D25" s="280">
        <f ca="1">IFERROR(VLOOKUP(B25&amp;"_"&amp;C25,'MX IRS Sensi'!$A$2:$E$200,4,FALSE),0)</f>
        <v>207.902184583241</v>
      </c>
      <c r="E25" s="280">
        <f ca="1">VLOOKUP(C25,Sensitivities!$B$28:$D$64,2,FALSE)</f>
        <v>207.9021845831777</v>
      </c>
      <c r="F25" s="296">
        <f t="shared" ca="1" si="0"/>
        <v>-6.3295146901509725E-11</v>
      </c>
      <c r="G25" s="280">
        <f ca="1">IFERROR(VLOOKUP(B25&amp;"_"&amp;C25,'MX IRS Sensi'!$A$2:$E$200,5,FALSE),0)</f>
        <v>-2.0904127290388701E-2</v>
      </c>
      <c r="H25" s="280">
        <f ca="1">VLOOKUP(C25,Sensitivities!$B$28:$D$64,3,FALSE)</f>
        <v>-2.0904137463568822E-2</v>
      </c>
      <c r="I25" s="294">
        <f t="shared" ca="1" si="1"/>
        <v>-1.01731801212257E-8</v>
      </c>
      <c r="K25" s="282" t="str">
        <f t="shared" ca="1" si="2"/>
        <v>Pass</v>
      </c>
      <c r="L25" s="59"/>
      <c r="M25" s="282" t="str">
        <f t="shared" ca="1" si="3"/>
        <v>Pass</v>
      </c>
    </row>
    <row r="26" spans="2:13">
      <c r="B26" s="285" t="s">
        <v>384</v>
      </c>
      <c r="C26" s="272" t="str">
        <f ca="1">Sensitivities!B44</f>
        <v>456D</v>
      </c>
      <c r="D26" s="280">
        <f ca="1">IFERROR(VLOOKUP(B26&amp;"_"&amp;C26,'MX IRS Sensi'!$A$2:$E$200,4,FALSE),0)</f>
        <v>4.6719592041177798</v>
      </c>
      <c r="E26" s="280">
        <f ca="1">VLOOKUP(C26,Sensitivities!$B$28:$D$64,2,FALSE)</f>
        <v>4.6719592041163533</v>
      </c>
      <c r="F26" s="296">
        <f t="shared" ref="F26" ca="1" si="4">E26-D26</f>
        <v>-1.4264145420384011E-12</v>
      </c>
      <c r="G26" s="280">
        <f ca="1">IFERROR(VLOOKUP(B26&amp;"_"&amp;C26,'MX IRS Sensi'!$A$2:$E$200,5,FALSE),0)</f>
        <v>-4.6975577909780198E-4</v>
      </c>
      <c r="H26" s="280">
        <f ca="1">VLOOKUP(C26,Sensitivities!$B$28:$D$64,3,FALSE)</f>
        <v>-4.6975589805772647E-4</v>
      </c>
      <c r="I26" s="294">
        <f t="shared" ca="1" si="1"/>
        <v>-1.1895992448485854E-10</v>
      </c>
      <c r="K26" s="282" t="str">
        <f t="shared" ca="1" si="2"/>
        <v>Pass</v>
      </c>
      <c r="L26" s="59"/>
      <c r="M26" s="282" t="str">
        <f t="shared" ca="1" si="3"/>
        <v>Pass</v>
      </c>
    </row>
    <row r="27" spans="2:13">
      <c r="B27" s="285" t="s">
        <v>384</v>
      </c>
      <c r="C27" s="272" t="str">
        <f ca="1">Sensitivities!B45</f>
        <v>547D</v>
      </c>
      <c r="D27" s="280">
        <f ca="1">IFERROR(VLOOKUP(B27&amp;"_"&amp;C27,'MX IRS Sensi'!$A$2:$E$200,4,FALSE),0)</f>
        <v>0</v>
      </c>
      <c r="E27" s="280">
        <f ca="1">VLOOKUP(C27,Sensitivities!$B$28:$D$64,2,FALSE)</f>
        <v>0</v>
      </c>
      <c r="F27" s="296">
        <f t="shared" ref="F27:F46" ca="1" si="5">E27-D27</f>
        <v>0</v>
      </c>
      <c r="G27" s="280">
        <f ca="1">IFERROR(VLOOKUP(B27&amp;"_"&amp;C27,'MX IRS Sensi'!$A$2:$E$200,5,FALSE),0)</f>
        <v>0</v>
      </c>
      <c r="H27" s="280">
        <f ca="1">VLOOKUP(C27,Sensitivities!$B$28:$D$64,3,FALSE)</f>
        <v>0</v>
      </c>
      <c r="I27" s="294">
        <f t="shared" ca="1" si="1"/>
        <v>0</v>
      </c>
      <c r="K27" s="282" t="str">
        <f t="shared" ca="1" si="2"/>
        <v>Pass</v>
      </c>
      <c r="L27" s="59"/>
      <c r="M27" s="282" t="str">
        <f t="shared" ca="1" si="3"/>
        <v>Pass</v>
      </c>
    </row>
    <row r="28" spans="2:13">
      <c r="B28" s="285" t="s">
        <v>384</v>
      </c>
      <c r="C28" s="272" t="str">
        <f ca="1">Sensitivities!B46</f>
        <v>638D</v>
      </c>
      <c r="D28" s="280">
        <f ca="1">IFERROR(VLOOKUP(B28&amp;"_"&amp;C28,'MX IRS Sensi'!$A$2:$E$200,4,FALSE),0)</f>
        <v>3.3687037791347598</v>
      </c>
      <c r="E28" s="280">
        <f ca="1">VLOOKUP(C28,Sensitivities!$B$28:$D$64,2,FALSE)</f>
        <v>0</v>
      </c>
      <c r="F28" s="296">
        <f t="shared" ca="1" si="5"/>
        <v>-3.3687037791347598</v>
      </c>
      <c r="G28" s="280">
        <f ca="1">IFERROR(VLOOKUP(B28&amp;"_"&amp;C28,'MX IRS Sensi'!$A$2:$E$200,5,FALSE),0)</f>
        <v>-5.91599257138142E-4</v>
      </c>
      <c r="H28" s="280">
        <f ca="1">VLOOKUP(C28,Sensitivities!$B$28:$D$64,3,FALSE)</f>
        <v>0</v>
      </c>
      <c r="I28" s="294">
        <f t="shared" ca="1" si="1"/>
        <v>5.91599257138142E-4</v>
      </c>
      <c r="K28" s="282" t="str">
        <f t="shared" ca="1" si="2"/>
        <v>Fail</v>
      </c>
      <c r="L28" s="59"/>
      <c r="M28" s="282" t="str">
        <f t="shared" ca="1" si="3"/>
        <v>Pass</v>
      </c>
    </row>
    <row r="29" spans="2:13">
      <c r="B29" s="285" t="s">
        <v>384</v>
      </c>
      <c r="C29" s="272" t="str">
        <f ca="1">Sensitivities!B47</f>
        <v>730D</v>
      </c>
      <c r="D29" s="280">
        <f ca="1">IFERROR(VLOOKUP(B29&amp;"_"&amp;C29,'MX IRS Sensi'!$A$2:$E$200,4,FALSE),0)</f>
        <v>-6447.9889461292296</v>
      </c>
      <c r="E29" s="280">
        <f ca="1">VLOOKUP(C29,Sensitivities!$B$28:$D$64,2,FALSE)</f>
        <v>-4529.9280309791629</v>
      </c>
      <c r="F29" s="296">
        <f t="shared" ca="1" si="5"/>
        <v>1918.0609151500666</v>
      </c>
      <c r="G29" s="280">
        <f ca="1">IFERROR(VLOOKUP(B29&amp;"_"&amp;C29,'MX IRS Sensi'!$A$2:$E$200,5,FALSE),0)</f>
        <v>1.80769568147943</v>
      </c>
      <c r="H29" s="280">
        <f ca="1">VLOOKUP(C29,Sensitivities!$B$28:$D$64,3,FALSE)</f>
        <v>1.268177603125501</v>
      </c>
      <c r="I29" s="294">
        <f t="shared" ca="1" si="1"/>
        <v>-0.53951807835392906</v>
      </c>
      <c r="K29" s="282" t="str">
        <f t="shared" ca="1" si="2"/>
        <v>Fail</v>
      </c>
      <c r="L29" s="59"/>
      <c r="M29" s="282" t="str">
        <f t="shared" ca="1" si="3"/>
        <v>Fail</v>
      </c>
    </row>
    <row r="30" spans="2:13">
      <c r="B30" s="285" t="s">
        <v>384</v>
      </c>
      <c r="C30" s="272" t="str">
        <f ca="1">Sensitivities!B48</f>
        <v>1095D</v>
      </c>
      <c r="D30" s="280">
        <f ca="1">IFERROR(VLOOKUP(B30&amp;"_"&amp;C30,'MX IRS Sensi'!$A$2:$E$200,4,FALSE),0)</f>
        <v>-26798.024015047002</v>
      </c>
      <c r="E30" s="280">
        <f ca="1">VLOOKUP(C30,Sensitivities!$B$28:$D$64,2,FALSE)</f>
        <v>-18302.923686401849</v>
      </c>
      <c r="F30" s="296">
        <f t="shared" ca="1" si="5"/>
        <v>8495.1003286451523</v>
      </c>
      <c r="G30" s="280">
        <f ca="1">IFERROR(VLOOKUP(B30&amp;"_"&amp;C30,'MX IRS Sensi'!$A$2:$E$200,5,FALSE),0)</f>
        <v>7.5213030659774898</v>
      </c>
      <c r="H30" s="280">
        <f ca="1">VLOOKUP(C30,Sensitivities!$B$28:$D$64,3,FALSE)</f>
        <v>5.1286851089908847</v>
      </c>
      <c r="I30" s="294">
        <f t="shared" ca="1" si="1"/>
        <v>-2.3926179569866051</v>
      </c>
      <c r="K30" s="282" t="str">
        <f t="shared" ca="1" si="2"/>
        <v>Fail</v>
      </c>
      <c r="L30" s="59"/>
      <c r="M30" s="282" t="str">
        <f t="shared" ca="1" si="3"/>
        <v>Fail</v>
      </c>
    </row>
    <row r="31" spans="2:13">
      <c r="B31" s="285" t="s">
        <v>384</v>
      </c>
      <c r="C31" s="272" t="str">
        <f ca="1">Sensitivities!B49</f>
        <v>1460D</v>
      </c>
      <c r="D31" s="280">
        <f ca="1">IFERROR(VLOOKUP(B31&amp;"_"&amp;C31,'MX IRS Sensi'!$A$2:$E$200,4,FALSE),0)</f>
        <v>0</v>
      </c>
      <c r="E31" s="280">
        <f ca="1">VLOOKUP(C31,Sensitivities!$B$28:$D$64,2,FALSE)</f>
        <v>0</v>
      </c>
      <c r="F31" s="296">
        <f t="shared" ca="1" si="5"/>
        <v>0</v>
      </c>
      <c r="G31" s="280">
        <f ca="1">IFERROR(VLOOKUP(B31&amp;"_"&amp;C31,'MX IRS Sensi'!$A$2:$E$200,5,FALSE),0)</f>
        <v>0</v>
      </c>
      <c r="H31" s="280">
        <f ca="1">VLOOKUP(C31,Sensitivities!$B$28:$D$64,3,FALSE)</f>
        <v>0</v>
      </c>
      <c r="I31" s="294">
        <f t="shared" ca="1" si="1"/>
        <v>0</v>
      </c>
      <c r="K31" s="282" t="str">
        <f t="shared" ca="1" si="2"/>
        <v>Pass</v>
      </c>
      <c r="L31" s="59"/>
      <c r="M31" s="282" t="str">
        <f t="shared" ca="1" si="3"/>
        <v>Pass</v>
      </c>
    </row>
    <row r="32" spans="2:13">
      <c r="B32" s="285" t="s">
        <v>384</v>
      </c>
      <c r="C32" s="272" t="str">
        <f ca="1">Sensitivities!B50</f>
        <v>1825D</v>
      </c>
      <c r="D32" s="280">
        <f ca="1">IFERROR(VLOOKUP(B32&amp;"_"&amp;C32,'MX IRS Sensi'!$A$2:$E$200,4,FALSE),0)</f>
        <v>1.045918907E-11</v>
      </c>
      <c r="E32" s="280">
        <f ca="1">VLOOKUP(C32,Sensitivities!$B$28:$D$64,2,FALSE)</f>
        <v>-3.920475055707584E-15</v>
      </c>
      <c r="F32" s="296">
        <f t="shared" ca="1" si="5"/>
        <v>-1.0463109545055708E-11</v>
      </c>
      <c r="G32" s="280">
        <f ca="1">IFERROR(VLOOKUP(B32&amp;"_"&amp;C32,'MX IRS Sensi'!$A$2:$E$200,5,FALSE),0)</f>
        <v>0</v>
      </c>
      <c r="H32" s="280">
        <f ca="1">VLOOKUP(C32,Sensitivities!$B$28:$D$64,3,FALSE)</f>
        <v>-1.7381116077658243E-18</v>
      </c>
      <c r="I32" s="294">
        <f t="shared" ca="1" si="1"/>
        <v>-1.7381116077658243E-18</v>
      </c>
      <c r="K32" s="282" t="str">
        <f t="shared" ca="1" si="2"/>
        <v>Pass</v>
      </c>
      <c r="L32" s="59"/>
      <c r="M32" s="282" t="str">
        <f t="shared" ca="1" si="3"/>
        <v>Pass</v>
      </c>
    </row>
    <row r="33" spans="2:13">
      <c r="B33" s="285" t="s">
        <v>384</v>
      </c>
      <c r="C33" s="272" t="str">
        <f ca="1">Sensitivities!B51</f>
        <v>2190D</v>
      </c>
      <c r="D33" s="280">
        <f ca="1">IFERROR(VLOOKUP(B33&amp;"_"&amp;C33,'MX IRS Sensi'!$A$2:$E$200,4,FALSE),0)</f>
        <v>8.5265130000000005E-14</v>
      </c>
      <c r="E33" s="280">
        <f ca="1">VLOOKUP(C33,Sensitivities!$B$28:$D$64,2,FALSE)</f>
        <v>-5.1716443627558562E-17</v>
      </c>
      <c r="F33" s="296">
        <f t="shared" ca="1" si="5"/>
        <v>-8.5316846443627564E-14</v>
      </c>
      <c r="G33" s="280">
        <f ca="1">IFERROR(VLOOKUP(B33&amp;"_"&amp;C33,'MX IRS Sensi'!$A$2:$E$200,5,FALSE),0)</f>
        <v>0</v>
      </c>
      <c r="H33" s="280">
        <f ca="1">VLOOKUP(C33,Sensitivities!$B$28:$D$64,3,FALSE)</f>
        <v>-2.5013941723603557E-20</v>
      </c>
      <c r="I33" s="294">
        <f t="shared" ca="1" si="1"/>
        <v>-2.5013941723603557E-20</v>
      </c>
      <c r="K33" s="282" t="str">
        <f t="shared" ca="1" si="2"/>
        <v>Pass</v>
      </c>
      <c r="L33" s="59"/>
      <c r="M33" s="282" t="str">
        <f t="shared" ca="1" si="3"/>
        <v>Pass</v>
      </c>
    </row>
    <row r="34" spans="2:13">
      <c r="B34" s="285" t="s">
        <v>384</v>
      </c>
      <c r="C34" s="272" t="str">
        <f ca="1">Sensitivities!B52</f>
        <v>2555D</v>
      </c>
      <c r="D34" s="280">
        <f ca="1">IFERROR(VLOOKUP(B34&amp;"_"&amp;C34,'MX IRS Sensi'!$A$2:$E$200,4,FALSE),0)</f>
        <v>0</v>
      </c>
      <c r="E34" s="280">
        <f ca="1">VLOOKUP(C34,Sensitivities!$B$28:$D$64,2,FALSE)</f>
        <v>0</v>
      </c>
      <c r="F34" s="296">
        <f t="shared" ca="1" si="5"/>
        <v>0</v>
      </c>
      <c r="G34" s="280">
        <f ca="1">IFERROR(VLOOKUP(B34&amp;"_"&amp;C34,'MX IRS Sensi'!$A$2:$E$200,5,FALSE),0)</f>
        <v>0</v>
      </c>
      <c r="H34" s="280">
        <f ca="1">VLOOKUP(C34,Sensitivities!$B$28:$D$64,3,FALSE)</f>
        <v>0</v>
      </c>
      <c r="I34" s="294">
        <f t="shared" ca="1" si="1"/>
        <v>0</v>
      </c>
      <c r="K34" s="282" t="str">
        <f t="shared" ca="1" si="2"/>
        <v>Pass</v>
      </c>
      <c r="L34" s="59"/>
      <c r="M34" s="282" t="str">
        <f t="shared" ca="1" si="3"/>
        <v>Pass</v>
      </c>
    </row>
    <row r="35" spans="2:13">
      <c r="B35" s="285" t="s">
        <v>384</v>
      </c>
      <c r="C35" s="272" t="str">
        <f ca="1">Sensitivities!B53</f>
        <v>2920D</v>
      </c>
      <c r="D35" s="280">
        <f ca="1">IFERROR(VLOOKUP(B35&amp;"_"&amp;C35,'MX IRS Sensi'!$A$2:$E$200,4,FALSE),0)</f>
        <v>0</v>
      </c>
      <c r="E35" s="280">
        <f ca="1">VLOOKUP(C35,Sensitivities!$B$28:$D$64,2,FALSE)</f>
        <v>0</v>
      </c>
      <c r="F35" s="296">
        <f t="shared" ca="1" si="5"/>
        <v>0</v>
      </c>
      <c r="G35" s="280">
        <f ca="1">IFERROR(VLOOKUP(B35&amp;"_"&amp;C35,'MX IRS Sensi'!$A$2:$E$200,5,FALSE),0)</f>
        <v>0</v>
      </c>
      <c r="H35" s="280">
        <f ca="1">VLOOKUP(C35,Sensitivities!$B$28:$D$64,3,FALSE)</f>
        <v>0</v>
      </c>
      <c r="I35" s="294">
        <f t="shared" ca="1" si="1"/>
        <v>0</v>
      </c>
      <c r="K35" s="282" t="str">
        <f t="shared" ca="1" si="2"/>
        <v>Pass</v>
      </c>
      <c r="L35" s="59"/>
      <c r="M35" s="282" t="str">
        <f t="shared" ca="1" si="3"/>
        <v>Pass</v>
      </c>
    </row>
    <row r="36" spans="2:13">
      <c r="B36" s="285" t="s">
        <v>384</v>
      </c>
      <c r="C36" s="272" t="str">
        <f ca="1">Sensitivities!B54</f>
        <v>3285D</v>
      </c>
      <c r="D36" s="280">
        <f ca="1">IFERROR(VLOOKUP(B36&amp;"_"&amp;C36,'MX IRS Sensi'!$A$2:$E$200,4,FALSE),0)</f>
        <v>0</v>
      </c>
      <c r="E36" s="280">
        <f ca="1">VLOOKUP(C36,Sensitivities!$B$28:$D$64,2,FALSE)</f>
        <v>0</v>
      </c>
      <c r="F36" s="296">
        <f t="shared" ca="1" si="5"/>
        <v>0</v>
      </c>
      <c r="G36" s="280">
        <f ca="1">IFERROR(VLOOKUP(B36&amp;"_"&amp;C36,'MX IRS Sensi'!$A$2:$E$200,5,FALSE),0)</f>
        <v>0</v>
      </c>
      <c r="H36" s="280">
        <f ca="1">VLOOKUP(C36,Sensitivities!$B$28:$D$64,3,FALSE)</f>
        <v>0</v>
      </c>
      <c r="I36" s="294">
        <f t="shared" ca="1" si="1"/>
        <v>0</v>
      </c>
      <c r="K36" s="282" t="str">
        <f t="shared" ca="1" si="2"/>
        <v>Pass</v>
      </c>
      <c r="L36" s="59"/>
      <c r="M36" s="282" t="str">
        <f t="shared" ca="1" si="3"/>
        <v>Pass</v>
      </c>
    </row>
    <row r="37" spans="2:13">
      <c r="B37" s="285" t="s">
        <v>384</v>
      </c>
      <c r="C37" s="272" t="str">
        <f ca="1">Sensitivities!B55</f>
        <v>3650D</v>
      </c>
      <c r="D37" s="280">
        <f ca="1">IFERROR(VLOOKUP(B37&amp;"_"&amp;C37,'MX IRS Sensi'!$A$2:$E$200,4,FALSE),0)</f>
        <v>-976.36512215282403</v>
      </c>
      <c r="E37" s="280">
        <f ca="1">VLOOKUP(C37,Sensitivities!$B$28:$D$64,2,FALSE)</f>
        <v>0</v>
      </c>
      <c r="F37" s="296">
        <f t="shared" ca="1" si="5"/>
        <v>976.36512215282403</v>
      </c>
      <c r="G37" s="280">
        <f ca="1">IFERROR(VLOOKUP(B37&amp;"_"&amp;C37,'MX IRS Sensi'!$A$2:$E$200,5,FALSE),0)</f>
        <v>1.13284814656254</v>
      </c>
      <c r="H37" s="280">
        <f ca="1">VLOOKUP(C37,Sensitivities!$B$28:$D$64,3,FALSE)</f>
        <v>0</v>
      </c>
      <c r="I37" s="294">
        <f t="shared" ca="1" si="1"/>
        <v>-1.13284814656254</v>
      </c>
      <c r="K37" s="282" t="str">
        <f t="shared" ca="1" si="2"/>
        <v>Fail</v>
      </c>
      <c r="L37" s="59"/>
      <c r="M37" s="282" t="str">
        <f t="shared" ca="1" si="3"/>
        <v>Fail</v>
      </c>
    </row>
    <row r="38" spans="2:13">
      <c r="B38" s="285" t="s">
        <v>384</v>
      </c>
      <c r="C38" s="272" t="str">
        <f ca="1">Sensitivities!B56</f>
        <v>4380D</v>
      </c>
      <c r="D38" s="280">
        <f ca="1">IFERROR(VLOOKUP(B38&amp;"_"&amp;C38,'MX IRS Sensi'!$A$2:$E$200,4,FALSE),0)</f>
        <v>-3939.12825144416</v>
      </c>
      <c r="E38" s="280">
        <f ca="1">VLOOKUP(C38,Sensitivities!$B$28:$D$64,2,FALSE)</f>
        <v>0</v>
      </c>
      <c r="F38" s="296">
        <f t="shared" ca="1" si="5"/>
        <v>3939.12825144416</v>
      </c>
      <c r="G38" s="280">
        <f ca="1">IFERROR(VLOOKUP(B38&amp;"_"&amp;C38,'MX IRS Sensi'!$A$2:$E$200,5,FALSE),0)</f>
        <v>4.5704483242388996</v>
      </c>
      <c r="H38" s="280">
        <f ca="1">VLOOKUP(C38,Sensitivities!$B$28:$D$64,3,FALSE)</f>
        <v>0</v>
      </c>
      <c r="I38" s="294">
        <f t="shared" ca="1" si="1"/>
        <v>-4.5704483242388996</v>
      </c>
      <c r="K38" s="282" t="str">
        <f t="shared" ca="1" si="2"/>
        <v>Fail</v>
      </c>
      <c r="L38" s="59"/>
      <c r="M38" s="282" t="str">
        <f t="shared" ca="1" si="3"/>
        <v>Fail</v>
      </c>
    </row>
    <row r="39" spans="2:13">
      <c r="B39" s="285" t="s">
        <v>384</v>
      </c>
      <c r="C39" s="272" t="str">
        <f ca="1">Sensitivities!B57</f>
        <v>5475D</v>
      </c>
      <c r="D39" s="280">
        <f ca="1">IFERROR(VLOOKUP(B39&amp;"_"&amp;C39,'MX IRS Sensi'!$A$2:$E$200,4,FALSE),0)</f>
        <v>-57735.725294350799</v>
      </c>
      <c r="E39" s="280">
        <f ca="1">VLOOKUP(C39,Sensitivities!$B$28:$D$64,2,FALSE)</f>
        <v>-57735.725294350661</v>
      </c>
      <c r="F39" s="296">
        <f t="shared" ca="1" si="5"/>
        <v>1.3824319466948509E-10</v>
      </c>
      <c r="G39" s="280">
        <f ca="1">IFERROR(VLOOKUP(B39&amp;"_"&amp;C39,'MX IRS Sensi'!$A$2:$E$200,5,FALSE),0)</f>
        <v>86.697848237793096</v>
      </c>
      <c r="H39" s="280">
        <f ca="1">VLOOKUP(C39,Sensitivities!$B$28:$D$64,3,FALSE)</f>
        <v>86.698495983105744</v>
      </c>
      <c r="I39" s="294">
        <f t="shared" ca="1" si="1"/>
        <v>6.4774531264788493E-4</v>
      </c>
      <c r="K39" s="282" t="str">
        <f t="shared" ca="1" si="2"/>
        <v>Pass</v>
      </c>
      <c r="L39" s="59"/>
      <c r="M39" s="282" t="str">
        <f t="shared" ca="1" si="3"/>
        <v>Pass</v>
      </c>
    </row>
    <row r="40" spans="2:13">
      <c r="B40" s="285" t="s">
        <v>384</v>
      </c>
      <c r="C40" s="272" t="str">
        <f ca="1">Sensitivities!B58</f>
        <v>7300D</v>
      </c>
      <c r="D40" s="280">
        <f ca="1">IFERROR(VLOOKUP(B40&amp;"_"&amp;C40,'MX IRS Sensi'!$A$2:$E$200,4,FALSE),0)</f>
        <v>-26651.226394132402</v>
      </c>
      <c r="E40" s="280">
        <f ca="1">VLOOKUP(C40,Sensitivities!$B$28:$D$64,2,FALSE)</f>
        <v>-26651.226395882641</v>
      </c>
      <c r="F40" s="296">
        <f t="shared" ca="1" si="5"/>
        <v>-1.7502388800494373E-6</v>
      </c>
      <c r="G40" s="280">
        <f ca="1">IFERROR(VLOOKUP(B40&amp;"_"&amp;C40,'MX IRS Sensi'!$A$2:$E$200,5,FALSE),0)</f>
        <v>62.463100917345798</v>
      </c>
      <c r="H40" s="280">
        <f ca="1">VLOOKUP(C40,Sensitivities!$B$28:$D$64,3,FALSE)</f>
        <v>62.463057736147988</v>
      </c>
      <c r="I40" s="294">
        <f t="shared" ca="1" si="1"/>
        <v>-4.3181197810326921E-5</v>
      </c>
      <c r="K40" s="282" t="str">
        <f t="shared" ca="1" si="2"/>
        <v>Pass</v>
      </c>
      <c r="L40" s="59"/>
      <c r="M40" s="282" t="str">
        <f t="shared" ca="1" si="3"/>
        <v>Pass</v>
      </c>
    </row>
    <row r="41" spans="2:13">
      <c r="B41" s="285" t="s">
        <v>384</v>
      </c>
      <c r="C41" s="272" t="str">
        <f ca="1">Sensitivities!B59</f>
        <v>9125D</v>
      </c>
      <c r="D41" s="280">
        <f ca="1">IFERROR(VLOOKUP(B41&amp;"_"&amp;C41,'MX IRS Sensi'!$A$2:$E$200,4,FALSE),0)</f>
        <v>-144712.21485285199</v>
      </c>
      <c r="E41" s="280">
        <f ca="1">VLOOKUP(C41,Sensitivities!$B$28:$D$64,2,FALSE)</f>
        <v>-144712.21486005053</v>
      </c>
      <c r="F41" s="296">
        <f t="shared" ca="1" si="5"/>
        <v>-7.1985414251685143E-6</v>
      </c>
      <c r="G41" s="280">
        <f ca="1">IFERROR(VLOOKUP(B41&amp;"_"&amp;C41,'MX IRS Sensi'!$A$2:$E$200,5,FALSE),0)</f>
        <v>373.83973195312097</v>
      </c>
      <c r="H41" s="280">
        <f ca="1">VLOOKUP(C41,Sensitivities!$B$28:$D$64,3,FALSE)</f>
        <v>373.83996622834394</v>
      </c>
      <c r="I41" s="294">
        <f t="shared" ca="1" si="1"/>
        <v>2.3427522296515235E-4</v>
      </c>
      <c r="K41" s="282" t="str">
        <f t="shared" ca="1" si="2"/>
        <v>Pass</v>
      </c>
      <c r="L41" s="59"/>
      <c r="M41" s="282" t="str">
        <f t="shared" ca="1" si="3"/>
        <v>Pass</v>
      </c>
    </row>
    <row r="42" spans="2:13">
      <c r="B42" s="285" t="s">
        <v>384</v>
      </c>
      <c r="C42" s="272" t="str">
        <f ca="1">Sensitivities!B60</f>
        <v>10950D</v>
      </c>
      <c r="D42" s="280">
        <f ca="1">IFERROR(VLOOKUP(B42&amp;"_"&amp;C42,'MX IRS Sensi'!$A$2:$E$200,4,FALSE),0)</f>
        <v>-108598.78461598</v>
      </c>
      <c r="E42" s="280">
        <f ca="1">VLOOKUP(C42,Sensitivities!$B$28:$D$64,2,FALSE)</f>
        <v>-165796.65423182008</v>
      </c>
      <c r="F42" s="296">
        <f t="shared" ca="1" si="5"/>
        <v>-57197.869615840085</v>
      </c>
      <c r="G42" s="280">
        <f ca="1">IFERROR(VLOOKUP(B42&amp;"_"&amp;C42,'MX IRS Sensi'!$A$2:$E$200,5,FALSE),0)</f>
        <v>302.86491205397402</v>
      </c>
      <c r="H42" s="280">
        <f ca="1">VLOOKUP(C42,Sensitivities!$B$28:$D$64,3,FALSE)</f>
        <v>476.07502063128027</v>
      </c>
      <c r="I42" s="294">
        <f t="shared" ca="1" si="1"/>
        <v>173.21010857730624</v>
      </c>
      <c r="K42" s="282" t="str">
        <f t="shared" ca="1" si="2"/>
        <v>Fail</v>
      </c>
      <c r="L42" s="59"/>
      <c r="M42" s="282" t="str">
        <f t="shared" ca="1" si="3"/>
        <v>Fail</v>
      </c>
    </row>
    <row r="43" spans="2:13">
      <c r="B43" s="285" t="s">
        <v>384</v>
      </c>
      <c r="C43" s="272" t="str">
        <f ca="1">Sensitivities!B61</f>
        <v>12775D</v>
      </c>
      <c r="D43" s="280">
        <f ca="1">IFERROR(VLOOKUP(B43&amp;"_"&amp;C43,'MX IRS Sensi'!$A$2:$E$200,4,FALSE),0)</f>
        <v>3421.2430722598001</v>
      </c>
      <c r="E43" s="280">
        <f ca="1">VLOOKUP(C43,Sensitivities!$B$28:$D$64,2,FALSE)</f>
        <v>3.1552288709423554E-12</v>
      </c>
      <c r="F43" s="296">
        <f t="shared" ca="1" si="5"/>
        <v>-3421.2430722597969</v>
      </c>
      <c r="G43" s="280">
        <f ca="1">IFERROR(VLOOKUP(B43&amp;"_"&amp;C43,'MX IRS Sensi'!$A$2:$E$200,5,FALSE),0)</f>
        <v>-10.3601993751909</v>
      </c>
      <c r="H43" s="280">
        <f ca="1">VLOOKUP(C43,Sensitivities!$B$28:$D$64,3,FALSE)</f>
        <v>-9.5853567922140831E-15</v>
      </c>
      <c r="I43" s="294">
        <f t="shared" ca="1" si="1"/>
        <v>10.360199375190891</v>
      </c>
      <c r="K43" s="282" t="str">
        <f t="shared" ca="1" si="2"/>
        <v>Fail</v>
      </c>
      <c r="L43" s="59"/>
      <c r="M43" s="282" t="str">
        <f t="shared" ca="1" si="3"/>
        <v>Fail</v>
      </c>
    </row>
    <row r="44" spans="2:13">
      <c r="B44" s="285" t="s">
        <v>384</v>
      </c>
      <c r="C44" s="272" t="str">
        <f ca="1">Sensitivities!B62</f>
        <v>14600D</v>
      </c>
      <c r="D44" s="280">
        <f ca="1">IFERROR(VLOOKUP(B44&amp;"_"&amp;C44,'MX IRS Sensi'!$A$2:$E$200,4,FALSE),0)</f>
        <v>0</v>
      </c>
      <c r="E44" s="280">
        <f ca="1">VLOOKUP(C44,Sensitivities!$B$28:$D$64,2,FALSE)</f>
        <v>0</v>
      </c>
      <c r="F44" s="296">
        <f t="shared" ca="1" si="5"/>
        <v>0</v>
      </c>
      <c r="G44" s="280">
        <f ca="1">IFERROR(VLOOKUP(B44&amp;"_"&amp;C44,'MX IRS Sensi'!$A$2:$E$200,5,FALSE),0)</f>
        <v>0</v>
      </c>
      <c r="H44" s="280">
        <f ca="1">VLOOKUP(C44,Sensitivities!$B$28:$D$64,3,FALSE)</f>
        <v>0</v>
      </c>
      <c r="I44" s="294">
        <f t="shared" ca="1" si="1"/>
        <v>0</v>
      </c>
      <c r="K44" s="282" t="str">
        <f t="shared" ca="1" si="2"/>
        <v>Pass</v>
      </c>
      <c r="L44" s="59"/>
      <c r="M44" s="282" t="str">
        <f t="shared" ca="1" si="3"/>
        <v>Pass</v>
      </c>
    </row>
    <row r="45" spans="2:13">
      <c r="B45" s="285" t="s">
        <v>384</v>
      </c>
      <c r="C45" s="272" t="str">
        <f ca="1">Sensitivities!B63</f>
        <v>16425D</v>
      </c>
      <c r="D45" s="280">
        <f ca="1">IFERROR(VLOOKUP(B45&amp;"_"&amp;C45,'MX IRS Sensi'!$A$2:$E$200,4,FALSE),0)</f>
        <v>0</v>
      </c>
      <c r="E45" s="280">
        <f ca="1">VLOOKUP(C45,Sensitivities!$B$28:$D$64,2,FALSE)</f>
        <v>0</v>
      </c>
      <c r="F45" s="296">
        <f t="shared" ca="1" si="5"/>
        <v>0</v>
      </c>
      <c r="G45" s="280">
        <f ca="1">IFERROR(VLOOKUP(B45&amp;"_"&amp;C45,'MX IRS Sensi'!$A$2:$E$200,5,FALSE),0)</f>
        <v>0</v>
      </c>
      <c r="H45" s="280">
        <f ca="1">VLOOKUP(C45,Sensitivities!$B$28:$D$64,3,FALSE)</f>
        <v>0</v>
      </c>
      <c r="I45" s="294">
        <f t="shared" ca="1" si="1"/>
        <v>0</v>
      </c>
      <c r="K45" s="282" t="str">
        <f t="shared" ca="1" si="2"/>
        <v>Pass</v>
      </c>
      <c r="L45" s="59"/>
      <c r="M45" s="282" t="str">
        <f t="shared" ca="1" si="3"/>
        <v>Pass</v>
      </c>
    </row>
    <row r="46" spans="2:13" ht="15.75" thickBot="1">
      <c r="B46" s="287" t="s">
        <v>384</v>
      </c>
      <c r="C46" s="271" t="str">
        <f ca="1">Sensitivities!B64</f>
        <v>18250D</v>
      </c>
      <c r="D46" s="298">
        <f ca="1">IFERROR(VLOOKUP(B46&amp;"_"&amp;C46,'MX IRS Sensi'!$A$2:$E$200,4,FALSE),0)</f>
        <v>0</v>
      </c>
      <c r="E46" s="298">
        <f ca="1">VLOOKUP(C46,Sensitivities!$B$28:$D$64,2,FALSE)</f>
        <v>0</v>
      </c>
      <c r="F46" s="168">
        <f t="shared" ca="1" si="5"/>
        <v>0</v>
      </c>
      <c r="G46" s="298">
        <f ca="1">IFERROR(VLOOKUP(B46&amp;"_"&amp;C46,'MX IRS Sensi'!$A$2:$E$200,5,FALSE),0)</f>
        <v>0</v>
      </c>
      <c r="H46" s="298">
        <f ca="1">VLOOKUP(C46,Sensitivities!$B$28:$D$64,3,FALSE)</f>
        <v>0</v>
      </c>
      <c r="I46" s="157">
        <f t="shared" ca="1" si="1"/>
        <v>0</v>
      </c>
      <c r="K46" s="283" t="str">
        <f t="shared" ca="1" si="2"/>
        <v>Pass</v>
      </c>
      <c r="L46" s="59"/>
      <c r="M46" s="283" t="str">
        <f t="shared" ca="1" si="3"/>
        <v>Pass</v>
      </c>
    </row>
    <row r="47" spans="2:13" ht="15.75" thickBot="1"/>
    <row r="48" spans="2:13" ht="15.75" thickBot="1">
      <c r="B48" s="163" t="s">
        <v>255</v>
      </c>
      <c r="C48" s="164" t="s">
        <v>0</v>
      </c>
      <c r="D48" s="164" t="s">
        <v>335</v>
      </c>
      <c r="E48" s="164" t="s">
        <v>336</v>
      </c>
      <c r="F48" s="164" t="s">
        <v>260</v>
      </c>
      <c r="G48" s="164" t="s">
        <v>337</v>
      </c>
      <c r="H48" s="164" t="s">
        <v>338</v>
      </c>
      <c r="I48" s="165" t="s">
        <v>261</v>
      </c>
      <c r="J48" s="178"/>
      <c r="K48" s="145" t="s">
        <v>262</v>
      </c>
      <c r="L48" s="179"/>
      <c r="M48" s="145" t="s">
        <v>263</v>
      </c>
    </row>
    <row r="49" spans="2:13">
      <c r="B49" s="284" t="s">
        <v>385</v>
      </c>
      <c r="C49" s="273" t="str">
        <f ca="1">Sensitivities!B28</f>
        <v>1D</v>
      </c>
      <c r="D49" s="146">
        <f ca="1">IFERROR(VLOOKUP(B49&amp;"_"&amp;C49,'MX IRS Sensi'!$A$2:$E$200,4,FALSE),0)</f>
        <v>-0.65224750994517799</v>
      </c>
      <c r="E49" s="146">
        <f ca="1">VLOOKUP(C49,Sensitivities!$F$28:$H$64,2,FALSE)</f>
        <v>-0.65224750994517655</v>
      </c>
      <c r="F49" s="166">
        <f ca="1">E49-D49</f>
        <v>1.4432899320127035E-15</v>
      </c>
      <c r="G49" s="146">
        <f ca="1">IFERROR(VLOOKUP(B49&amp;"_"&amp;C49,'MX IRS Sensi'!$A$2:$E$200,5,FALSE),0)</f>
        <v>1.7869794532999E-7</v>
      </c>
      <c r="H49" s="166">
        <f ca="1">VLOOKUP(C49,Sensitivities!$F$28:$H$64,3,FALSE)</f>
        <v>1.7869794793018537E-7</v>
      </c>
      <c r="I49" s="155">
        <f ca="1">H49-G49</f>
        <v>2.6001953775807679E-15</v>
      </c>
      <c r="K49" s="151" t="str">
        <f t="shared" ref="K49:K75" ca="1" si="6">IF(ABS(F49)&lt;$F$1,"Pass","Fail")</f>
        <v>Pass</v>
      </c>
      <c r="L49" s="183"/>
      <c r="M49" s="151" t="str">
        <f t="shared" ref="M49:M75" ca="1" si="7">IF(ABS(I49)&lt;$F$1,"Pass","Fail")</f>
        <v>Pass</v>
      </c>
    </row>
    <row r="50" spans="2:13">
      <c r="B50" s="147" t="s">
        <v>385</v>
      </c>
      <c r="C50" s="275" t="str">
        <f ca="1">Sensitivities!B29</f>
        <v>7D</v>
      </c>
      <c r="D50" s="83">
        <f ca="1">IFERROR(VLOOKUP(B50&amp;"_"&amp;C50,'MX IRS Sensi'!$A$2:$E$200,4,FALSE),0)</f>
        <v>0</v>
      </c>
      <c r="E50" s="83">
        <f ca="1">VLOOKUP(C50,Sensitivities!$F$28:$H$64,2,FALSE)</f>
        <v>0</v>
      </c>
      <c r="F50" s="167">
        <f t="shared" ref="F50:F83" ca="1" si="8">E50-D50</f>
        <v>0</v>
      </c>
      <c r="G50" s="83">
        <f ca="1">IFERROR(VLOOKUP(B50&amp;"_"&amp;C50,'MX IRS Sensi'!$A$2:$E$200,5,FALSE),0)</f>
        <v>0</v>
      </c>
      <c r="H50" s="167">
        <f ca="1">VLOOKUP(C50,Sensitivities!$F$28:$H$64,3,FALSE)</f>
        <v>0</v>
      </c>
      <c r="I50" s="156">
        <f t="shared" ref="I50:I83" ca="1" si="9">H50-G50</f>
        <v>0</v>
      </c>
      <c r="K50" s="142" t="str">
        <f t="shared" ca="1" si="6"/>
        <v>Pass</v>
      </c>
      <c r="L50" s="59"/>
      <c r="M50" s="142" t="str">
        <f t="shared" ca="1" si="7"/>
        <v>Pass</v>
      </c>
    </row>
    <row r="51" spans="2:13">
      <c r="B51" s="147" t="s">
        <v>385</v>
      </c>
      <c r="C51" s="275" t="str">
        <f ca="1">Sensitivities!B30</f>
        <v>14D</v>
      </c>
      <c r="D51" s="83">
        <f ca="1">IFERROR(VLOOKUP(B51&amp;"_"&amp;C51,'MX IRS Sensi'!$A$2:$E$200,4,FALSE),0)</f>
        <v>0</v>
      </c>
      <c r="E51" s="83">
        <f ca="1">VLOOKUP(C51,Sensitivities!$F$28:$H$64,2,FALSE)</f>
        <v>0</v>
      </c>
      <c r="F51" s="167">
        <f t="shared" ca="1" si="8"/>
        <v>0</v>
      </c>
      <c r="G51" s="83">
        <f ca="1">IFERROR(VLOOKUP(B51&amp;"_"&amp;C51,'MX IRS Sensi'!$A$2:$E$200,5,FALSE),0)</f>
        <v>0</v>
      </c>
      <c r="H51" s="167">
        <f ca="1">VLOOKUP(C51,Sensitivities!$F$28:$H$64,3,FALSE)</f>
        <v>0</v>
      </c>
      <c r="I51" s="156">
        <f t="shared" ca="1" si="9"/>
        <v>0</v>
      </c>
      <c r="K51" s="142" t="str">
        <f t="shared" ca="1" si="6"/>
        <v>Pass</v>
      </c>
      <c r="L51" s="59"/>
      <c r="M51" s="142" t="str">
        <f t="shared" ca="1" si="7"/>
        <v>Pass</v>
      </c>
    </row>
    <row r="52" spans="2:13">
      <c r="B52" s="147" t="s">
        <v>385</v>
      </c>
      <c r="C52" s="275" t="str">
        <f ca="1">Sensitivities!B31</f>
        <v>21D</v>
      </c>
      <c r="D52" s="83">
        <f ca="1">IFERROR(VLOOKUP(B52&amp;"_"&amp;C52,'MX IRS Sensi'!$A$2:$E$200,4,FALSE),0)</f>
        <v>0</v>
      </c>
      <c r="E52" s="83">
        <f ca="1">VLOOKUP(C52,Sensitivities!$F$28:$H$64,2,FALSE)</f>
        <v>0</v>
      </c>
      <c r="F52" s="167">
        <f t="shared" ca="1" si="8"/>
        <v>0</v>
      </c>
      <c r="G52" s="83">
        <f ca="1">IFERROR(VLOOKUP(B52&amp;"_"&amp;C52,'MX IRS Sensi'!$A$2:$E$200,5,FALSE),0)</f>
        <v>0</v>
      </c>
      <c r="H52" s="167">
        <f ca="1">VLOOKUP(C52,Sensitivities!$F$28:$H$64,3,FALSE)</f>
        <v>0</v>
      </c>
      <c r="I52" s="156">
        <f t="shared" ca="1" si="9"/>
        <v>0</v>
      </c>
      <c r="K52" s="142" t="str">
        <f t="shared" ca="1" si="6"/>
        <v>Pass</v>
      </c>
      <c r="M52" s="142" t="str">
        <f t="shared" ca="1" si="7"/>
        <v>Pass</v>
      </c>
    </row>
    <row r="53" spans="2:13">
      <c r="B53" s="147" t="s">
        <v>385</v>
      </c>
      <c r="C53" s="275" t="str">
        <f ca="1">Sensitivities!B32</f>
        <v>30D</v>
      </c>
      <c r="D53" s="83">
        <f ca="1">IFERROR(VLOOKUP(B53&amp;"_"&amp;C53,'MX IRS Sensi'!$A$2:$E$200,4,FALSE),0)</f>
        <v>0</v>
      </c>
      <c r="E53" s="83">
        <f ca="1">VLOOKUP(C53,Sensitivities!$F$28:$H$64,2,FALSE)</f>
        <v>0</v>
      </c>
      <c r="F53" s="167">
        <f t="shared" ca="1" si="8"/>
        <v>0</v>
      </c>
      <c r="G53" s="83">
        <f ca="1">IFERROR(VLOOKUP(B53&amp;"_"&amp;C53,'MX IRS Sensi'!$A$2:$E$200,5,FALSE),0)</f>
        <v>0</v>
      </c>
      <c r="H53" s="167">
        <f ca="1">VLOOKUP(C53,Sensitivities!$F$28:$H$64,3,FALSE)</f>
        <v>0</v>
      </c>
      <c r="I53" s="156">
        <f t="shared" ca="1" si="9"/>
        <v>0</v>
      </c>
      <c r="K53" s="142" t="str">
        <f t="shared" ca="1" si="6"/>
        <v>Pass</v>
      </c>
      <c r="M53" s="142" t="str">
        <f t="shared" ca="1" si="7"/>
        <v>Pass</v>
      </c>
    </row>
    <row r="54" spans="2:13">
      <c r="B54" s="147" t="s">
        <v>385</v>
      </c>
      <c r="C54" s="275" t="str">
        <f ca="1">Sensitivities!B33</f>
        <v>60D</v>
      </c>
      <c r="D54" s="83">
        <f ca="1">IFERROR(VLOOKUP(B54&amp;"_"&amp;C54,'MX IRS Sensi'!$A$2:$E$200,4,FALSE),0)</f>
        <v>-25.2017245491712</v>
      </c>
      <c r="E54" s="83">
        <f ca="1">VLOOKUP(C54,Sensitivities!$F$28:$H$64,2,FALSE)</f>
        <v>-25.201724549170674</v>
      </c>
      <c r="F54" s="167">
        <f t="shared" ca="1" si="8"/>
        <v>5.2580162446247414E-13</v>
      </c>
      <c r="G54" s="83">
        <f ca="1">IFERROR(VLOOKUP(B54&amp;"_"&amp;C54,'MX IRS Sensi'!$A$2:$E$200,5,FALSE),0)</f>
        <v>4.3498863744329002E-4</v>
      </c>
      <c r="H54" s="167">
        <f ca="1">VLOOKUP(C54,Sensitivities!$F$28:$H$64,3,FALSE)</f>
        <v>4.3498867030075417E-4</v>
      </c>
      <c r="I54" s="156">
        <f t="shared" ca="1" si="9"/>
        <v>3.2857464145330528E-11</v>
      </c>
      <c r="K54" s="142" t="str">
        <f t="shared" ca="1" si="6"/>
        <v>Pass</v>
      </c>
      <c r="M54" s="142" t="str">
        <f t="shared" ca="1" si="7"/>
        <v>Pass</v>
      </c>
    </row>
    <row r="55" spans="2:13">
      <c r="B55" s="147" t="s">
        <v>385</v>
      </c>
      <c r="C55" s="275" t="str">
        <f ca="1">Sensitivities!B34</f>
        <v>91D</v>
      </c>
      <c r="D55" s="83">
        <f ca="1">IFERROR(VLOOKUP(B55&amp;"_"&amp;C55,'MX IRS Sensi'!$A$2:$E$200,4,FALSE),0)</f>
        <v>-2.70018477312549</v>
      </c>
      <c r="E55" s="83">
        <f ca="1">VLOOKUP(C55,Sensitivities!$F$28:$H$64,2,FALSE)</f>
        <v>-2.7001847731254296</v>
      </c>
      <c r="F55" s="167">
        <f t="shared" ca="1" si="8"/>
        <v>6.0396132539608516E-14</v>
      </c>
      <c r="G55" s="83">
        <f ca="1">IFERROR(VLOOKUP(B55&amp;"_"&amp;C55,'MX IRS Sensi'!$A$2:$E$200,5,FALSE),0)</f>
        <v>4.6605926962150998E-5</v>
      </c>
      <c r="H55" s="167">
        <f ca="1">VLOOKUP(C55,Sensitivities!$F$28:$H$64,3,FALSE)</f>
        <v>4.6605928960795087E-5</v>
      </c>
      <c r="I55" s="156">
        <f t="shared" ca="1" si="9"/>
        <v>1.998644088771484E-12</v>
      </c>
      <c r="K55" s="142" t="str">
        <f t="shared" ca="1" si="6"/>
        <v>Pass</v>
      </c>
      <c r="M55" s="142" t="str">
        <f t="shared" ca="1" si="7"/>
        <v>Pass</v>
      </c>
    </row>
    <row r="56" spans="2:13">
      <c r="B56" s="147" t="s">
        <v>385</v>
      </c>
      <c r="C56" s="275" t="str">
        <f ca="1">Sensitivities!B35</f>
        <v>121D</v>
      </c>
      <c r="D56" s="83">
        <f ca="1">IFERROR(VLOOKUP(B56&amp;"_"&amp;C56,'MX IRS Sensi'!$A$2:$E$200,4,FALSE),0)</f>
        <v>0</v>
      </c>
      <c r="E56" s="83">
        <f ca="1">VLOOKUP(C56,Sensitivities!$F$28:$H$64,2,FALSE)</f>
        <v>0</v>
      </c>
      <c r="F56" s="167">
        <f t="shared" ca="1" si="8"/>
        <v>0</v>
      </c>
      <c r="G56" s="83">
        <f ca="1">IFERROR(VLOOKUP(B56&amp;"_"&amp;C56,'MX IRS Sensi'!$A$2:$E$200,5,FALSE),0)</f>
        <v>0</v>
      </c>
      <c r="H56" s="167">
        <f ca="1">VLOOKUP(C56,Sensitivities!$F$28:$H$64,3,FALSE)</f>
        <v>0</v>
      </c>
      <c r="I56" s="156">
        <f t="shared" ca="1" si="9"/>
        <v>0</v>
      </c>
      <c r="K56" s="142" t="str">
        <f t="shared" ca="1" si="6"/>
        <v>Pass</v>
      </c>
      <c r="M56" s="142" t="str">
        <f t="shared" ca="1" si="7"/>
        <v>Pass</v>
      </c>
    </row>
    <row r="57" spans="2:13">
      <c r="B57" s="147" t="s">
        <v>385</v>
      </c>
      <c r="C57" s="275" t="str">
        <f ca="1">Sensitivities!B36</f>
        <v>152D</v>
      </c>
      <c r="D57" s="83">
        <f ca="1">IFERROR(VLOOKUP(B57&amp;"_"&amp;C57,'MX IRS Sensi'!$A$2:$E$200,4,FALSE),0)</f>
        <v>0</v>
      </c>
      <c r="E57" s="83">
        <f ca="1">VLOOKUP(C57,Sensitivities!$F$28:$H$64,2,FALSE)</f>
        <v>0</v>
      </c>
      <c r="F57" s="167">
        <f t="shared" ca="1" si="8"/>
        <v>0</v>
      </c>
      <c r="G57" s="83">
        <f ca="1">IFERROR(VLOOKUP(B57&amp;"_"&amp;C57,'MX IRS Sensi'!$A$2:$E$200,5,FALSE),0)</f>
        <v>0</v>
      </c>
      <c r="H57" s="167">
        <f ca="1">VLOOKUP(C57,Sensitivities!$F$28:$H$64,3,FALSE)</f>
        <v>0</v>
      </c>
      <c r="I57" s="156">
        <f t="shared" ca="1" si="9"/>
        <v>0</v>
      </c>
      <c r="K57" s="142" t="str">
        <f t="shared" ca="1" si="6"/>
        <v>Pass</v>
      </c>
      <c r="M57" s="142" t="str">
        <f t="shared" ca="1" si="7"/>
        <v>Pass</v>
      </c>
    </row>
    <row r="58" spans="2:13">
      <c r="B58" s="147" t="s">
        <v>385</v>
      </c>
      <c r="C58" s="275" t="str">
        <f ca="1">Sensitivities!B37</f>
        <v>182D</v>
      </c>
      <c r="D58" s="83">
        <f ca="1">IFERROR(VLOOKUP(B58&amp;"_"&amp;C58,'MX IRS Sensi'!$A$2:$E$200,4,FALSE),0)</f>
        <v>-85.293047075653902</v>
      </c>
      <c r="E58" s="83">
        <f ca="1">VLOOKUP(C58,Sensitivities!$F$28:$H$64,2,FALSE)</f>
        <v>-85.293047070905303</v>
      </c>
      <c r="F58" s="167">
        <f t="shared" ca="1" si="8"/>
        <v>4.7485997356488951E-9</v>
      </c>
      <c r="G58" s="83">
        <f ca="1">IFERROR(VLOOKUP(B58&amp;"_"&amp;C58,'MX IRS Sensi'!$A$2:$E$200,5,FALSE),0)</f>
        <v>4.3230713134354698E-3</v>
      </c>
      <c r="H58" s="167">
        <f ca="1">VLOOKUP(C58,Sensitivities!$F$28:$H$64,3,FALSE)</f>
        <v>4.32307224879931E-3</v>
      </c>
      <c r="I58" s="156">
        <f t="shared" ca="1" si="9"/>
        <v>9.3536384020154184E-10</v>
      </c>
      <c r="K58" s="142" t="str">
        <f t="shared" ca="1" si="6"/>
        <v>Pass</v>
      </c>
      <c r="M58" s="142" t="str">
        <f t="shared" ca="1" si="7"/>
        <v>Pass</v>
      </c>
    </row>
    <row r="59" spans="2:13">
      <c r="B59" s="147" t="s">
        <v>385</v>
      </c>
      <c r="C59" s="275" t="str">
        <f ca="1">Sensitivities!B38</f>
        <v>212D</v>
      </c>
      <c r="D59" s="83">
        <f ca="1">IFERROR(VLOOKUP(B59&amp;"_"&amp;C59,'MX IRS Sensi'!$A$2:$E$200,4,FALSE),0)</f>
        <v>-9.47700523062821</v>
      </c>
      <c r="E59" s="83">
        <f ca="1">VLOOKUP(C59,Sensitivities!$F$28:$H$64,2,FALSE)</f>
        <v>-9.4770052301005894</v>
      </c>
      <c r="F59" s="167">
        <f t="shared" ca="1" si="8"/>
        <v>5.2762061386601999E-10</v>
      </c>
      <c r="G59" s="83">
        <f ca="1">IFERROR(VLOOKUP(B59&amp;"_"&amp;C59,'MX IRS Sensi'!$A$2:$E$200,5,FALSE),0)</f>
        <v>4.8034130826667397E-4</v>
      </c>
      <c r="H59" s="167">
        <f ca="1">VLOOKUP(C59,Sensitivities!$F$28:$H$64,3,FALSE)</f>
        <v>4.8034136097770114E-4</v>
      </c>
      <c r="I59" s="156">
        <f t="shared" ca="1" si="9"/>
        <v>5.2711027166349456E-11</v>
      </c>
      <c r="K59" s="142" t="str">
        <f t="shared" ca="1" si="6"/>
        <v>Pass</v>
      </c>
      <c r="M59" s="142" t="str">
        <f t="shared" ca="1" si="7"/>
        <v>Pass</v>
      </c>
    </row>
    <row r="60" spans="2:13">
      <c r="B60" s="147" t="s">
        <v>385</v>
      </c>
      <c r="C60" s="275" t="str">
        <f ca="1">Sensitivities!B39</f>
        <v>243D</v>
      </c>
      <c r="D60" s="83">
        <f ca="1">IFERROR(VLOOKUP(B60&amp;"_"&amp;C60,'MX IRS Sensi'!$A$2:$E$200,4,FALSE),0)</f>
        <v>0</v>
      </c>
      <c r="E60" s="83">
        <f ca="1">VLOOKUP(C60,Sensitivities!$F$28:$H$64,2,FALSE)</f>
        <v>0</v>
      </c>
      <c r="F60" s="167">
        <f t="shared" ca="1" si="8"/>
        <v>0</v>
      </c>
      <c r="G60" s="83">
        <f ca="1">IFERROR(VLOOKUP(B60&amp;"_"&amp;C60,'MX IRS Sensi'!$A$2:$E$200,5,FALSE),0)</f>
        <v>0</v>
      </c>
      <c r="H60" s="167">
        <f ca="1">VLOOKUP(C60,Sensitivities!$F$28:$H$64,3,FALSE)</f>
        <v>0</v>
      </c>
      <c r="I60" s="156">
        <f t="shared" ca="1" si="9"/>
        <v>0</v>
      </c>
      <c r="K60" s="142" t="str">
        <f t="shared" ca="1" si="6"/>
        <v>Pass</v>
      </c>
      <c r="M60" s="142" t="str">
        <f t="shared" ca="1" si="7"/>
        <v>Pass</v>
      </c>
    </row>
    <row r="61" spans="2:13">
      <c r="B61" s="147" t="s">
        <v>385</v>
      </c>
      <c r="C61" s="275" t="str">
        <f ca="1">Sensitivities!B40</f>
        <v>273D</v>
      </c>
      <c r="D61" s="83">
        <f ca="1">IFERROR(VLOOKUP(B61&amp;"_"&amp;C61,'MX IRS Sensi'!$A$2:$E$200,4,FALSE),0)</f>
        <v>68.042620873004907</v>
      </c>
      <c r="E61" s="83">
        <f ca="1">VLOOKUP(C61,Sensitivities!$F$28:$H$64,2,FALSE)</f>
        <v>68.042620873005589</v>
      </c>
      <c r="F61" s="167">
        <f t="shared" ca="1" si="8"/>
        <v>6.8212102632969618E-13</v>
      </c>
      <c r="G61" s="83">
        <f ca="1">IFERROR(VLOOKUP(B61&amp;"_"&amp;C61,'MX IRS Sensi'!$A$2:$E$200,5,FALSE),0)</f>
        <v>-5.1451389677215102E-3</v>
      </c>
      <c r="H61" s="167">
        <f ca="1">VLOOKUP(C61,Sensitivities!$F$28:$H$64,3,FALSE)</f>
        <v>-5.1451406468354909E-3</v>
      </c>
      <c r="I61" s="156">
        <f t="shared" ca="1" si="9"/>
        <v>-1.6791139806696109E-9</v>
      </c>
      <c r="K61" s="142" t="str">
        <f t="shared" ca="1" si="6"/>
        <v>Pass</v>
      </c>
      <c r="M61" s="142" t="str">
        <f t="shared" ca="1" si="7"/>
        <v>Pass</v>
      </c>
    </row>
    <row r="62" spans="2:13">
      <c r="B62" s="147" t="s">
        <v>385</v>
      </c>
      <c r="C62" s="275" t="str">
        <f ca="1">Sensitivities!B41</f>
        <v>304D</v>
      </c>
      <c r="D62" s="83">
        <f ca="1">IFERROR(VLOOKUP(B62&amp;"_"&amp;C62,'MX IRS Sensi'!$A$2:$E$200,4,FALSE),0)</f>
        <v>7.2902808078219596</v>
      </c>
      <c r="E62" s="83">
        <f ca="1">VLOOKUP(C62,Sensitivities!$F$28:$H$64,2,FALSE)</f>
        <v>7.2902808078220271</v>
      </c>
      <c r="F62" s="167">
        <f t="shared" ca="1" si="8"/>
        <v>6.7501559897209518E-14</v>
      </c>
      <c r="G62" s="83">
        <f ca="1">IFERROR(VLOOKUP(B62&amp;"_"&amp;C62,'MX IRS Sensi'!$A$2:$E$200,5,FALSE),0)</f>
        <v>-5.5126497477964197E-4</v>
      </c>
      <c r="H62" s="167">
        <f ca="1">VLOOKUP(C62,Sensitivities!$F$28:$H$64,3,FALSE)</f>
        <v>-5.5126506930380261E-4</v>
      </c>
      <c r="I62" s="156">
        <f t="shared" ca="1" si="9"/>
        <v>-9.4524160634129606E-11</v>
      </c>
      <c r="K62" s="142" t="str">
        <f t="shared" ca="1" si="6"/>
        <v>Pass</v>
      </c>
      <c r="M62" s="142" t="str">
        <f t="shared" ca="1" si="7"/>
        <v>Pass</v>
      </c>
    </row>
    <row r="63" spans="2:13">
      <c r="B63" s="147" t="s">
        <v>385</v>
      </c>
      <c r="C63" s="275" t="str">
        <f ca="1">Sensitivities!B42</f>
        <v>334D</v>
      </c>
      <c r="D63" s="83">
        <f ca="1">IFERROR(VLOOKUP(B63&amp;"_"&amp;C63,'MX IRS Sensi'!$A$2:$E$200,4,FALSE),0)</f>
        <v>0</v>
      </c>
      <c r="E63" s="83">
        <f ca="1">VLOOKUP(C63,Sensitivities!$F$28:$H$64,2,FALSE)</f>
        <v>0</v>
      </c>
      <c r="F63" s="167">
        <f t="shared" ca="1" si="8"/>
        <v>0</v>
      </c>
      <c r="G63" s="83">
        <f ca="1">IFERROR(VLOOKUP(B63&amp;"_"&amp;C63,'MX IRS Sensi'!$A$2:$E$200,5,FALSE),0)</f>
        <v>0</v>
      </c>
      <c r="H63" s="167">
        <f ca="1">VLOOKUP(C63,Sensitivities!$F$28:$H$64,3,FALSE)</f>
        <v>0</v>
      </c>
      <c r="I63" s="156">
        <f t="shared" ca="1" si="9"/>
        <v>0</v>
      </c>
      <c r="K63" s="142" t="str">
        <f t="shared" ca="1" si="6"/>
        <v>Pass</v>
      </c>
      <c r="M63" s="142" t="str">
        <f t="shared" ca="1" si="7"/>
        <v>Pass</v>
      </c>
    </row>
    <row r="64" spans="2:13">
      <c r="B64" s="147" t="s">
        <v>385</v>
      </c>
      <c r="C64" s="275" t="str">
        <f ca="1">Sensitivities!B43</f>
        <v>365D</v>
      </c>
      <c r="D64" s="83">
        <f ca="1">IFERROR(VLOOKUP(B64&amp;"_"&amp;C64,'MX IRS Sensi'!$A$2:$E$200,4,FALSE),0)</f>
        <v>0</v>
      </c>
      <c r="E64" s="83">
        <f ca="1">VLOOKUP(C64,Sensitivities!$F$28:$H$64,2,FALSE)</f>
        <v>0</v>
      </c>
      <c r="F64" s="167">
        <f t="shared" ca="1" si="8"/>
        <v>0</v>
      </c>
      <c r="G64" s="83">
        <f ca="1">IFERROR(VLOOKUP(B64&amp;"_"&amp;C64,'MX IRS Sensi'!$A$2:$E$200,5,FALSE),0)</f>
        <v>0</v>
      </c>
      <c r="H64" s="167">
        <f ca="1">VLOOKUP(C64,Sensitivities!$F$28:$H$64,3,FALSE)</f>
        <v>0</v>
      </c>
      <c r="I64" s="156">
        <f t="shared" ca="1" si="9"/>
        <v>0</v>
      </c>
      <c r="K64" s="142" t="str">
        <f t="shared" ca="1" si="6"/>
        <v>Pass</v>
      </c>
      <c r="M64" s="142" t="str">
        <f t="shared" ca="1" si="7"/>
        <v>Pass</v>
      </c>
    </row>
    <row r="65" spans="2:13">
      <c r="B65" s="147" t="s">
        <v>385</v>
      </c>
      <c r="C65" s="275" t="str">
        <f ca="1">Sensitivities!B44</f>
        <v>456D</v>
      </c>
      <c r="D65" s="83">
        <f ca="1">IFERROR(VLOOKUP(B65&amp;"_"&amp;C65,'MX IRS Sensi'!$A$2:$E$200,4,FALSE),0)</f>
        <v>0</v>
      </c>
      <c r="E65" s="83">
        <f ca="1">VLOOKUP(C65,Sensitivities!$F$28:$H$64,2,FALSE)</f>
        <v>0</v>
      </c>
      <c r="F65" s="167">
        <f t="shared" ca="1" si="8"/>
        <v>0</v>
      </c>
      <c r="G65" s="83">
        <f ca="1">IFERROR(VLOOKUP(B65&amp;"_"&amp;C65,'MX IRS Sensi'!$A$2:$E$200,5,FALSE),0)</f>
        <v>0</v>
      </c>
      <c r="H65" s="167">
        <f ca="1">VLOOKUP(C65,Sensitivities!$F$28:$H$64,3,FALSE)</f>
        <v>0</v>
      </c>
      <c r="I65" s="156">
        <f t="shared" ca="1" si="9"/>
        <v>0</v>
      </c>
      <c r="K65" s="142" t="str">
        <f t="shared" ca="1" si="6"/>
        <v>Pass</v>
      </c>
      <c r="M65" s="142" t="str">
        <f t="shared" ca="1" si="7"/>
        <v>Pass</v>
      </c>
    </row>
    <row r="66" spans="2:13">
      <c r="B66" s="147" t="s">
        <v>385</v>
      </c>
      <c r="C66" s="275" t="str">
        <f ca="1">Sensitivities!B45</f>
        <v>547D</v>
      </c>
      <c r="D66" s="83">
        <f ca="1">IFERROR(VLOOKUP(B66&amp;"_"&amp;C66,'MX IRS Sensi'!$A$2:$E$200,4,FALSE),0)</f>
        <v>0</v>
      </c>
      <c r="E66" s="83">
        <f ca="1">VLOOKUP(C66,Sensitivities!$F$28:$H$64,2,FALSE)</f>
        <v>0</v>
      </c>
      <c r="F66" s="167">
        <f t="shared" ca="1" si="8"/>
        <v>0</v>
      </c>
      <c r="G66" s="83">
        <f ca="1">IFERROR(VLOOKUP(B66&amp;"_"&amp;C66,'MX IRS Sensi'!$A$2:$E$200,5,FALSE),0)</f>
        <v>0</v>
      </c>
      <c r="H66" s="167">
        <f ca="1">VLOOKUP(C66,Sensitivities!$F$28:$H$64,3,FALSE)</f>
        <v>0</v>
      </c>
      <c r="I66" s="156">
        <f t="shared" ca="1" si="9"/>
        <v>0</v>
      </c>
      <c r="K66" s="142" t="str">
        <f t="shared" ca="1" si="6"/>
        <v>Pass</v>
      </c>
      <c r="M66" s="142" t="str">
        <f t="shared" ca="1" si="7"/>
        <v>Pass</v>
      </c>
    </row>
    <row r="67" spans="2:13">
      <c r="B67" s="147" t="s">
        <v>385</v>
      </c>
      <c r="C67" s="275" t="str">
        <f ca="1">Sensitivities!B46</f>
        <v>638D</v>
      </c>
      <c r="D67" s="83">
        <f ca="1">IFERROR(VLOOKUP(B67&amp;"_"&amp;C67,'MX IRS Sensi'!$A$2:$E$200,4,FALSE),0)</f>
        <v>0</v>
      </c>
      <c r="E67" s="83">
        <f ca="1">VLOOKUP(C67,Sensitivities!$F$28:$H$64,2,FALSE)</f>
        <v>0</v>
      </c>
      <c r="F67" s="167">
        <f t="shared" ca="1" si="8"/>
        <v>0</v>
      </c>
      <c r="G67" s="83">
        <f ca="1">IFERROR(VLOOKUP(B67&amp;"_"&amp;C67,'MX IRS Sensi'!$A$2:$E$200,5,FALSE),0)</f>
        <v>0</v>
      </c>
      <c r="H67" s="167">
        <f ca="1">VLOOKUP(C67,Sensitivities!$F$28:$H$64,3,FALSE)</f>
        <v>0</v>
      </c>
      <c r="I67" s="156">
        <f t="shared" ca="1" si="9"/>
        <v>0</v>
      </c>
      <c r="K67" s="142" t="str">
        <f t="shared" ca="1" si="6"/>
        <v>Pass</v>
      </c>
      <c r="M67" s="142" t="str">
        <f t="shared" ca="1" si="7"/>
        <v>Pass</v>
      </c>
    </row>
    <row r="68" spans="2:13">
      <c r="B68" s="147" t="s">
        <v>385</v>
      </c>
      <c r="C68" s="275" t="str">
        <f ca="1">Sensitivities!B47</f>
        <v>730D</v>
      </c>
      <c r="D68" s="83">
        <f ca="1">IFERROR(VLOOKUP(B68&amp;"_"&amp;C68,'MX IRS Sensi'!$A$2:$E$200,4,FALSE),0)</f>
        <v>0</v>
      </c>
      <c r="E68" s="83">
        <f ca="1">VLOOKUP(C68,Sensitivities!$F$28:$H$64,2,FALSE)</f>
        <v>4.9182879990894435E-14</v>
      </c>
      <c r="F68" s="167">
        <f t="shared" ca="1" si="8"/>
        <v>4.9182879990894435E-14</v>
      </c>
      <c r="G68" s="83">
        <f ca="1">IFERROR(VLOOKUP(B68&amp;"_"&amp;C68,'MX IRS Sensi'!$A$2:$E$200,5,FALSE),0)</f>
        <v>0</v>
      </c>
      <c r="H68" s="167">
        <f ca="1">VLOOKUP(C68,Sensitivities!$F$28:$H$64,3,FALSE)</f>
        <v>-9.3647962648435445E-18</v>
      </c>
      <c r="I68" s="156">
        <f t="shared" ca="1" si="9"/>
        <v>-9.3647962648435445E-18</v>
      </c>
      <c r="K68" s="142" t="str">
        <f t="shared" ca="1" si="6"/>
        <v>Pass</v>
      </c>
      <c r="M68" s="142" t="str">
        <f t="shared" ca="1" si="7"/>
        <v>Pass</v>
      </c>
    </row>
    <row r="69" spans="2:13">
      <c r="B69" s="147" t="s">
        <v>385</v>
      </c>
      <c r="C69" s="275" t="str">
        <f ca="1">Sensitivities!B48</f>
        <v>1095D</v>
      </c>
      <c r="D69" s="83">
        <f ca="1">IFERROR(VLOOKUP(B69&amp;"_"&amp;C69,'MX IRS Sensi'!$A$2:$E$200,4,FALSE),0)</f>
        <v>0</v>
      </c>
      <c r="E69" s="83">
        <f ca="1">VLOOKUP(C69,Sensitivities!$F$28:$H$64,2,FALSE)</f>
        <v>-8.6519333364343254E-17</v>
      </c>
      <c r="F69" s="167">
        <f t="shared" ca="1" si="8"/>
        <v>-8.6519333364343254E-17</v>
      </c>
      <c r="G69" s="83">
        <f ca="1">IFERROR(VLOOKUP(B69&amp;"_"&amp;C69,'MX IRS Sensi'!$A$2:$E$200,5,FALSE),0)</f>
        <v>0</v>
      </c>
      <c r="H69" s="167">
        <f ca="1">VLOOKUP(C69,Sensitivities!$F$28:$H$64,3,FALSE)</f>
        <v>1.2255507955585658E-20</v>
      </c>
      <c r="I69" s="156">
        <f t="shared" ca="1" si="9"/>
        <v>1.2255507955585658E-20</v>
      </c>
      <c r="K69" s="142" t="str">
        <f t="shared" ca="1" si="6"/>
        <v>Pass</v>
      </c>
      <c r="M69" s="142" t="str">
        <f t="shared" ca="1" si="7"/>
        <v>Pass</v>
      </c>
    </row>
    <row r="70" spans="2:13">
      <c r="B70" s="147" t="s">
        <v>385</v>
      </c>
      <c r="C70" s="275" t="str">
        <f ca="1">Sensitivities!B49</f>
        <v>1460D</v>
      </c>
      <c r="D70" s="83">
        <f ca="1">IFERROR(VLOOKUP(B70&amp;"_"&amp;C70,'MX IRS Sensi'!$A$2:$E$200,4,FALSE),0)</f>
        <v>0</v>
      </c>
      <c r="E70" s="83">
        <f ca="1">VLOOKUP(C70,Sensitivities!$F$28:$H$64,2,FALSE)</f>
        <v>0</v>
      </c>
      <c r="F70" s="167">
        <f t="shared" ca="1" si="8"/>
        <v>0</v>
      </c>
      <c r="G70" s="83">
        <f ca="1">IFERROR(VLOOKUP(B70&amp;"_"&amp;C70,'MX IRS Sensi'!$A$2:$E$200,5,FALSE),0)</f>
        <v>0</v>
      </c>
      <c r="H70" s="167">
        <f ca="1">VLOOKUP(C70,Sensitivities!$F$28:$H$64,3,FALSE)</f>
        <v>0</v>
      </c>
      <c r="I70" s="156">
        <f t="shared" ca="1" si="9"/>
        <v>0</v>
      </c>
      <c r="K70" s="142" t="str">
        <f t="shared" ca="1" si="6"/>
        <v>Pass</v>
      </c>
      <c r="M70" s="142" t="str">
        <f t="shared" ca="1" si="7"/>
        <v>Pass</v>
      </c>
    </row>
    <row r="71" spans="2:13">
      <c r="B71" s="147" t="s">
        <v>385</v>
      </c>
      <c r="C71" s="275" t="str">
        <f ca="1">Sensitivities!B50</f>
        <v>1825D</v>
      </c>
      <c r="D71" s="83">
        <f ca="1">IFERROR(VLOOKUP(B71&amp;"_"&amp;C71,'MX IRS Sensi'!$A$2:$E$200,4,FALSE),0)</f>
        <v>0</v>
      </c>
      <c r="E71" s="83">
        <f ca="1">VLOOKUP(C71,Sensitivities!$F$28:$H$64,2,FALSE)</f>
        <v>0</v>
      </c>
      <c r="F71" s="167">
        <f t="shared" ca="1" si="8"/>
        <v>0</v>
      </c>
      <c r="G71" s="83">
        <f ca="1">IFERROR(VLOOKUP(B71&amp;"_"&amp;C71,'MX IRS Sensi'!$A$2:$E$200,5,FALSE),0)</f>
        <v>0</v>
      </c>
      <c r="H71" s="167">
        <f ca="1">VLOOKUP(C71,Sensitivities!$F$28:$H$64,3,FALSE)</f>
        <v>0</v>
      </c>
      <c r="I71" s="156">
        <f t="shared" ca="1" si="9"/>
        <v>0</v>
      </c>
      <c r="K71" s="142" t="str">
        <f t="shared" ca="1" si="6"/>
        <v>Pass</v>
      </c>
      <c r="M71" s="142" t="str">
        <f t="shared" ca="1" si="7"/>
        <v>Pass</v>
      </c>
    </row>
    <row r="72" spans="2:13">
      <c r="B72" s="147" t="s">
        <v>385</v>
      </c>
      <c r="C72" s="275" t="str">
        <f ca="1">Sensitivities!B51</f>
        <v>2190D</v>
      </c>
      <c r="D72" s="83">
        <f ca="1">IFERROR(VLOOKUP(B72&amp;"_"&amp;C72,'MX IRS Sensi'!$A$2:$E$200,4,FALSE),0)</f>
        <v>0</v>
      </c>
      <c r="E72" s="83">
        <f ca="1">VLOOKUP(C72,Sensitivities!$F$28:$H$64,2,FALSE)</f>
        <v>0</v>
      </c>
      <c r="F72" s="167">
        <f t="shared" ca="1" si="8"/>
        <v>0</v>
      </c>
      <c r="G72" s="83">
        <f ca="1">IFERROR(VLOOKUP(B72&amp;"_"&amp;C72,'MX IRS Sensi'!$A$2:$E$200,5,FALSE),0)</f>
        <v>0</v>
      </c>
      <c r="H72" s="167">
        <f ca="1">VLOOKUP(C72,Sensitivities!$F$28:$H$64,3,FALSE)</f>
        <v>0</v>
      </c>
      <c r="I72" s="156">
        <f t="shared" ca="1" si="9"/>
        <v>0</v>
      </c>
      <c r="K72" s="142" t="str">
        <f t="shared" ca="1" si="6"/>
        <v>Pass</v>
      </c>
      <c r="M72" s="142" t="str">
        <f t="shared" ca="1" si="7"/>
        <v>Pass</v>
      </c>
    </row>
    <row r="73" spans="2:13">
      <c r="B73" s="147" t="s">
        <v>385</v>
      </c>
      <c r="C73" s="275" t="str">
        <f ca="1">Sensitivities!B52</f>
        <v>2555D</v>
      </c>
      <c r="D73" s="83">
        <f ca="1">IFERROR(VLOOKUP(B73&amp;"_"&amp;C73,'MX IRS Sensi'!$A$2:$E$200,4,FALSE),0)</f>
        <v>0</v>
      </c>
      <c r="E73" s="83">
        <f ca="1">VLOOKUP(C73,Sensitivities!$F$28:$H$64,2,FALSE)</f>
        <v>0</v>
      </c>
      <c r="F73" s="167">
        <f t="shared" ca="1" si="8"/>
        <v>0</v>
      </c>
      <c r="G73" s="83">
        <f ca="1">IFERROR(VLOOKUP(B73&amp;"_"&amp;C73,'MX IRS Sensi'!$A$2:$E$200,5,FALSE),0)</f>
        <v>0</v>
      </c>
      <c r="H73" s="167">
        <f ca="1">VLOOKUP(C73,Sensitivities!$F$28:$H$64,3,FALSE)</f>
        <v>0</v>
      </c>
      <c r="I73" s="156">
        <f t="shared" ca="1" si="9"/>
        <v>0</v>
      </c>
      <c r="K73" s="142" t="str">
        <f t="shared" ca="1" si="6"/>
        <v>Pass</v>
      </c>
      <c r="M73" s="142" t="str">
        <f t="shared" ca="1" si="7"/>
        <v>Pass</v>
      </c>
    </row>
    <row r="74" spans="2:13">
      <c r="B74" s="147" t="s">
        <v>385</v>
      </c>
      <c r="C74" s="275" t="str">
        <f ca="1">Sensitivities!B53</f>
        <v>2920D</v>
      </c>
      <c r="D74" s="83">
        <f ca="1">IFERROR(VLOOKUP(B74&amp;"_"&amp;C74,'MX IRS Sensi'!$A$2:$E$200,4,FALSE),0)</f>
        <v>0</v>
      </c>
      <c r="E74" s="83">
        <f ca="1">VLOOKUP(C74,Sensitivities!$F$28:$H$64,2,FALSE)</f>
        <v>0</v>
      </c>
      <c r="F74" s="167">
        <f t="shared" ca="1" si="8"/>
        <v>0</v>
      </c>
      <c r="G74" s="83">
        <f ca="1">IFERROR(VLOOKUP(B74&amp;"_"&amp;C74,'MX IRS Sensi'!$A$2:$E$200,5,FALSE),0)</f>
        <v>0</v>
      </c>
      <c r="H74" s="167">
        <f ca="1">VLOOKUP(C74,Sensitivities!$F$28:$H$64,3,FALSE)</f>
        <v>0</v>
      </c>
      <c r="I74" s="156">
        <f t="shared" ca="1" si="9"/>
        <v>0</v>
      </c>
      <c r="K74" s="142" t="str">
        <f t="shared" ca="1" si="6"/>
        <v>Pass</v>
      </c>
      <c r="M74" s="142" t="str">
        <f t="shared" ca="1" si="7"/>
        <v>Pass</v>
      </c>
    </row>
    <row r="75" spans="2:13">
      <c r="B75" s="147" t="s">
        <v>385</v>
      </c>
      <c r="C75" s="275" t="str">
        <f ca="1">Sensitivities!B54</f>
        <v>3285D</v>
      </c>
      <c r="D75" s="83">
        <f ca="1">IFERROR(VLOOKUP(B75&amp;"_"&amp;C75,'MX IRS Sensi'!$A$2:$E$200,4,FALSE),0)</f>
        <v>0</v>
      </c>
      <c r="E75" s="83">
        <f ca="1">VLOOKUP(C75,Sensitivities!$F$28:$H$64,2,FALSE)</f>
        <v>0</v>
      </c>
      <c r="F75" s="167">
        <f t="shared" ca="1" si="8"/>
        <v>0</v>
      </c>
      <c r="G75" s="83">
        <f ca="1">IFERROR(VLOOKUP(B75&amp;"_"&amp;C75,'MX IRS Sensi'!$A$2:$E$200,5,FALSE),0)</f>
        <v>0</v>
      </c>
      <c r="H75" s="167">
        <f ca="1">VLOOKUP(C75,Sensitivities!$F$28:$H$64,3,FALSE)</f>
        <v>0</v>
      </c>
      <c r="I75" s="156">
        <f t="shared" ca="1" si="9"/>
        <v>0</v>
      </c>
      <c r="K75" s="142" t="str">
        <f t="shared" ca="1" si="6"/>
        <v>Pass</v>
      </c>
      <c r="M75" s="142" t="str">
        <f t="shared" ca="1" si="7"/>
        <v>Pass</v>
      </c>
    </row>
    <row r="76" spans="2:13">
      <c r="B76" s="147" t="s">
        <v>385</v>
      </c>
      <c r="C76" s="275" t="str">
        <f ca="1">Sensitivities!B55</f>
        <v>3650D</v>
      </c>
      <c r="D76" s="83">
        <f ca="1">IFERROR(VLOOKUP(B76&amp;"_"&amp;C76,'MX IRS Sensi'!$A$2:$E$200,4,FALSE),0)</f>
        <v>0</v>
      </c>
      <c r="E76" s="83">
        <f ca="1">VLOOKUP(C76,Sensitivities!$F$28:$H$64,2,FALSE)</f>
        <v>0</v>
      </c>
      <c r="F76" s="167">
        <f t="shared" ca="1" si="8"/>
        <v>0</v>
      </c>
      <c r="G76" s="83">
        <f ca="1">IFERROR(VLOOKUP(B76&amp;"_"&amp;C76,'MX IRS Sensi'!$A$2:$E$200,5,FALSE),0)</f>
        <v>0</v>
      </c>
      <c r="H76" s="167">
        <f ca="1">VLOOKUP(C76,Sensitivities!$F$28:$H$64,3,FALSE)</f>
        <v>0</v>
      </c>
      <c r="I76" s="156">
        <f t="shared" ca="1" si="9"/>
        <v>0</v>
      </c>
      <c r="K76" s="142" t="str">
        <f t="shared" ref="K76:K84" ca="1" si="10">IF(ABS(F76)&lt;$F$1,"Pass","Fail")</f>
        <v>Pass</v>
      </c>
      <c r="M76" s="142" t="str">
        <f t="shared" ref="M76:M84" ca="1" si="11">IF(ABS(I76)&lt;$F$1,"Pass","Fail")</f>
        <v>Pass</v>
      </c>
    </row>
    <row r="77" spans="2:13">
      <c r="B77" s="147" t="s">
        <v>385</v>
      </c>
      <c r="C77" s="275" t="str">
        <f ca="1">Sensitivities!B56</f>
        <v>4380D</v>
      </c>
      <c r="D77" s="83">
        <f ca="1">IFERROR(VLOOKUP(B77&amp;"_"&amp;C77,'MX IRS Sensi'!$A$2:$E$200,4,FALSE),0)</f>
        <v>0</v>
      </c>
      <c r="E77" s="83">
        <f ca="1">VLOOKUP(C77,Sensitivities!$F$28:$H$64,2,FALSE)</f>
        <v>0</v>
      </c>
      <c r="F77" s="167">
        <f t="shared" ca="1" si="8"/>
        <v>0</v>
      </c>
      <c r="G77" s="83">
        <f ca="1">IFERROR(VLOOKUP(B77&amp;"_"&amp;C77,'MX IRS Sensi'!$A$2:$E$200,5,FALSE),0)</f>
        <v>0</v>
      </c>
      <c r="H77" s="167">
        <f ca="1">VLOOKUP(C77,Sensitivities!$F$28:$H$64,3,FALSE)</f>
        <v>0</v>
      </c>
      <c r="I77" s="156">
        <f t="shared" ca="1" si="9"/>
        <v>0</v>
      </c>
      <c r="K77" s="142" t="str">
        <f t="shared" ca="1" si="10"/>
        <v>Pass</v>
      </c>
      <c r="M77" s="142" t="str">
        <f t="shared" ca="1" si="11"/>
        <v>Pass</v>
      </c>
    </row>
    <row r="78" spans="2:13">
      <c r="B78" s="147" t="s">
        <v>385</v>
      </c>
      <c r="C78" s="275" t="str">
        <f ca="1">Sensitivities!B57</f>
        <v>5475D</v>
      </c>
      <c r="D78" s="83">
        <f ca="1">IFERROR(VLOOKUP(B78&amp;"_"&amp;C78,'MX IRS Sensi'!$A$2:$E$200,4,FALSE),0)</f>
        <v>-19126.325366637</v>
      </c>
      <c r="E78" s="83">
        <f ca="1">VLOOKUP(C78,Sensitivities!$F$28:$H$64,2,FALSE)</f>
        <v>-19126.325366623209</v>
      </c>
      <c r="F78" s="167">
        <f t="shared" ca="1" si="8"/>
        <v>1.3791577657684684E-8</v>
      </c>
      <c r="G78" s="83">
        <f ca="1">IFERROR(VLOOKUP(B78&amp;"_"&amp;C78,'MX IRS Sensi'!$A$2:$E$200,5,FALSE),0)</f>
        <v>32.540799078378797</v>
      </c>
      <c r="H78" s="167">
        <f ca="1">VLOOKUP(C78,Sensitivities!$F$28:$H$64,3,FALSE)</f>
        <v>32.540953568967154</v>
      </c>
      <c r="I78" s="156">
        <f t="shared" ca="1" si="9"/>
        <v>1.5449058835770302E-4</v>
      </c>
      <c r="K78" s="142" t="str">
        <f t="shared" ca="1" si="10"/>
        <v>Pass</v>
      </c>
      <c r="M78" s="142" t="str">
        <f t="shared" ca="1" si="11"/>
        <v>Pass</v>
      </c>
    </row>
    <row r="79" spans="2:13">
      <c r="B79" s="147" t="s">
        <v>385</v>
      </c>
      <c r="C79" s="275" t="str">
        <f ca="1">Sensitivities!B58</f>
        <v>7300D</v>
      </c>
      <c r="D79" s="83">
        <f ca="1">IFERROR(VLOOKUP(B79&amp;"_"&amp;C79,'MX IRS Sensi'!$A$2:$E$200,4,FALSE),0)</f>
        <v>-12897.1093068263</v>
      </c>
      <c r="E79" s="83">
        <f ca="1">VLOOKUP(C79,Sensitivities!$F$28:$H$64,2,FALSE)</f>
        <v>-12897.109306851429</v>
      </c>
      <c r="F79" s="167">
        <f t="shared" ca="1" si="8"/>
        <v>-2.5129338609986007E-8</v>
      </c>
      <c r="G79" s="83">
        <f ca="1">IFERROR(VLOOKUP(B79&amp;"_"&amp;C79,'MX IRS Sensi'!$A$2:$E$200,5,FALSE),0)</f>
        <v>21.9426670731991</v>
      </c>
      <c r="H79" s="167">
        <f ca="1">VLOOKUP(C79,Sensitivities!$F$28:$H$64,3,FALSE)</f>
        <v>21.942753094670515</v>
      </c>
      <c r="I79" s="156">
        <f t="shared" ca="1" si="9"/>
        <v>8.6021471414454709E-5</v>
      </c>
      <c r="K79" s="142" t="str">
        <f t="shared" ca="1" si="10"/>
        <v>Pass</v>
      </c>
      <c r="M79" s="142" t="str">
        <f t="shared" ca="1" si="11"/>
        <v>Pass</v>
      </c>
    </row>
    <row r="80" spans="2:13">
      <c r="B80" s="147" t="s">
        <v>385</v>
      </c>
      <c r="C80" s="275" t="str">
        <f ca="1">Sensitivities!B59</f>
        <v>9125D</v>
      </c>
      <c r="D80" s="83">
        <f ca="1">IFERROR(VLOOKUP(B80&amp;"_"&amp;C80,'MX IRS Sensi'!$A$2:$E$200,4,FALSE),0)</f>
        <v>-214008.50079541799</v>
      </c>
      <c r="E80" s="83">
        <f ca="1">VLOOKUP(C80,Sensitivities!$F$28:$H$64,2,FALSE)</f>
        <v>-214008.50079540597</v>
      </c>
      <c r="F80" s="167">
        <f t="shared" ca="1" si="8"/>
        <v>1.201988197863102E-8</v>
      </c>
      <c r="G80" s="83">
        <f ca="1">IFERROR(VLOOKUP(B80&amp;"_"&amp;C80,'MX IRS Sensi'!$A$2:$E$200,5,FALSE),0)</f>
        <v>535.431679250814</v>
      </c>
      <c r="H80" s="167">
        <f ca="1">VLOOKUP(C80,Sensitivities!$F$28:$H$64,3,FALSE)</f>
        <v>535.43167925031435</v>
      </c>
      <c r="I80" s="156">
        <f t="shared" ca="1" si="9"/>
        <v>-4.9965365178650245E-10</v>
      </c>
      <c r="K80" s="142" t="str">
        <f t="shared" ca="1" si="10"/>
        <v>Pass</v>
      </c>
      <c r="M80" s="142" t="str">
        <f t="shared" ca="1" si="11"/>
        <v>Pass</v>
      </c>
    </row>
    <row r="81" spans="2:13">
      <c r="B81" s="147" t="s">
        <v>385</v>
      </c>
      <c r="C81" s="275" t="str">
        <f ca="1">Sensitivities!B60</f>
        <v>10950D</v>
      </c>
      <c r="D81" s="83">
        <f ca="1">IFERROR(VLOOKUP(B81&amp;"_"&amp;C81,'MX IRS Sensi'!$A$2:$E$200,4,FALSE),0)</f>
        <v>-824.01512945984496</v>
      </c>
      <c r="E81" s="83">
        <f ca="1">VLOOKUP(C81,Sensitivities!$F$28:$H$64,2,FALSE)</f>
        <v>-824.01512957527052</v>
      </c>
      <c r="F81" s="167">
        <f t="shared" ca="1" si="8"/>
        <v>-1.1542556421773043E-7</v>
      </c>
      <c r="G81" s="83">
        <f ca="1">IFERROR(VLOOKUP(B81&amp;"_"&amp;C81,'MX IRS Sensi'!$A$2:$E$200,5,FALSE),0)</f>
        <v>2.0616181269283298</v>
      </c>
      <c r="H81" s="167">
        <f ca="1">VLOOKUP(C81,Sensitivities!$F$28:$H$64,3,FALSE)</f>
        <v>2.0616181269264029</v>
      </c>
      <c r="I81" s="294">
        <f t="shared" ca="1" si="9"/>
        <v>-1.9269030815394217E-12</v>
      </c>
      <c r="K81" s="142" t="str">
        <f t="shared" ca="1" si="10"/>
        <v>Pass</v>
      </c>
      <c r="M81" s="142" t="str">
        <f t="shared" ca="1" si="11"/>
        <v>Pass</v>
      </c>
    </row>
    <row r="82" spans="2:13">
      <c r="B82" s="147" t="s">
        <v>385</v>
      </c>
      <c r="C82" s="275" t="str">
        <f ca="1">Sensitivities!B61</f>
        <v>12775D</v>
      </c>
      <c r="D82" s="83">
        <f ca="1">IFERROR(VLOOKUP(B82&amp;"_"&amp;C82,'MX IRS Sensi'!$A$2:$E$200,4,FALSE),0)</f>
        <v>-184632.191221616</v>
      </c>
      <c r="E82" s="83">
        <f ca="1">VLOOKUP(C82,Sensitivities!$F$28:$H$64,2,FALSE)</f>
        <v>-184632.19122132022</v>
      </c>
      <c r="F82" s="167">
        <f t="shared" ca="1" si="8"/>
        <v>2.9578222893178463E-7</v>
      </c>
      <c r="G82" s="83">
        <f ca="1">IFERROR(VLOOKUP(B82&amp;"_"&amp;C82,'MX IRS Sensi'!$A$2:$E$200,5,FALSE),0)</f>
        <v>665.17293499528</v>
      </c>
      <c r="H82" s="167">
        <f ca="1">VLOOKUP(C82,Sensitivities!$F$28:$H$64,3,FALSE)</f>
        <v>665.18173001653713</v>
      </c>
      <c r="I82" s="274">
        <f t="shared" ca="1" si="9"/>
        <v>8.7950212571286102E-3</v>
      </c>
      <c r="K82" s="142" t="str">
        <f t="shared" ca="1" si="10"/>
        <v>Pass</v>
      </c>
      <c r="M82" s="142" t="str">
        <f t="shared" ca="1" si="11"/>
        <v>Fail</v>
      </c>
    </row>
    <row r="83" spans="2:13">
      <c r="B83" s="147" t="s">
        <v>385</v>
      </c>
      <c r="C83" s="275" t="str">
        <f ca="1">Sensitivities!B62</f>
        <v>14600D</v>
      </c>
      <c r="D83" s="83">
        <f ca="1">IFERROR(VLOOKUP(B83&amp;"_"&amp;C83,'MX IRS Sensi'!$A$2:$E$200,4,FALSE),0)</f>
        <v>-47749.704626024002</v>
      </c>
      <c r="E83" s="83">
        <f ca="1">VLOOKUP(C83,Sensitivities!$F$28:$H$64,2,FALSE)</f>
        <v>-47749.7046262035</v>
      </c>
      <c r="F83" s="167">
        <f t="shared" ca="1" si="8"/>
        <v>-1.7949787434190512E-7</v>
      </c>
      <c r="G83" s="83">
        <f ca="1">IFERROR(VLOOKUP(B83&amp;"_"&amp;C83,'MX IRS Sensi'!$A$2:$E$200,5,FALSE),0)</f>
        <v>172.028395864982</v>
      </c>
      <c r="H83" s="167">
        <f ca="1">VLOOKUP(C83,Sensitivities!$F$28:$H$64,3,FALSE)</f>
        <v>172.0297577628975</v>
      </c>
      <c r="I83" s="156">
        <f t="shared" ca="1" si="9"/>
        <v>1.3618979155012312E-3</v>
      </c>
      <c r="K83" s="142" t="str">
        <f t="shared" ca="1" si="10"/>
        <v>Pass</v>
      </c>
      <c r="M83" s="142" t="str">
        <f t="shared" ca="1" si="11"/>
        <v>Pass</v>
      </c>
    </row>
    <row r="84" spans="2:13" ht="15.75" thickBot="1">
      <c r="B84" s="285" t="s">
        <v>385</v>
      </c>
      <c r="C84" s="275" t="str">
        <f ca="1">Sensitivities!B63</f>
        <v>16425D</v>
      </c>
      <c r="D84" s="280">
        <f ca="1">IFERROR(VLOOKUP(B84&amp;"_"&amp;C84,'MX IRS Sensi'!$A$2:$E$200,4,FALSE),0)</f>
        <v>1.55193845254E-9</v>
      </c>
      <c r="E84" s="280">
        <f ca="1">VLOOKUP(C84,Sensitivities!$F$28:$H$64,2,FALSE)</f>
        <v>0</v>
      </c>
      <c r="F84" s="296">
        <f t="shared" ref="F84" ca="1" si="12">E84-D84</f>
        <v>-1.55193845254E-9</v>
      </c>
      <c r="G84" s="280">
        <f ca="1">IFERROR(VLOOKUP(B84&amp;"_"&amp;C84,'MX IRS Sensi'!$A$2:$E$200,5,FALSE),0)</f>
        <v>0</v>
      </c>
      <c r="H84" s="296">
        <f ca="1">VLOOKUP(C84,Sensitivities!$F$28:$H$64,3,FALSE)</f>
        <v>0</v>
      </c>
      <c r="I84" s="294">
        <f t="shared" ref="I84" ca="1" si="13">H84-G84</f>
        <v>0</v>
      </c>
      <c r="K84" s="144" t="str">
        <f t="shared" ca="1" si="10"/>
        <v>Pass</v>
      </c>
      <c r="M84" s="144" t="str">
        <f t="shared" ca="1" si="11"/>
        <v>Pass</v>
      </c>
    </row>
    <row r="85" spans="2:13" ht="15.75" thickBot="1">
      <c r="B85" s="287" t="s">
        <v>385</v>
      </c>
      <c r="C85" s="269" t="str">
        <f ca="1">Sensitivities!B64</f>
        <v>18250D</v>
      </c>
      <c r="D85" s="298">
        <f ca="1">IFERROR(VLOOKUP(B85&amp;"_"&amp;C85,'MX IRS Sensi'!$A$2:$E$200,4,FALSE),0)</f>
        <v>1.68802216649E-9</v>
      </c>
      <c r="E85" s="298">
        <f ca="1">VLOOKUP(C85,Sensitivities!$F$28:$H$64,2,FALSE)</f>
        <v>0</v>
      </c>
      <c r="F85" s="168">
        <f t="shared" ref="F85" ca="1" si="14">E85-D85</f>
        <v>-1.68802216649E-9</v>
      </c>
      <c r="G85" s="298">
        <f ca="1">IFERROR(VLOOKUP(B85&amp;"_"&amp;C85,'MX IRS Sensi'!$A$2:$E$200,5,FALSE),0)</f>
        <v>0</v>
      </c>
      <c r="H85" s="168">
        <f ca="1">VLOOKUP(C85,Sensitivities!$F$28:$H$64,3,FALSE)</f>
        <v>0</v>
      </c>
      <c r="I85" s="157">
        <f t="shared" ref="I85" ca="1" si="15">H85-G85</f>
        <v>0</v>
      </c>
    </row>
    <row r="86" spans="2:13" ht="15.75" thickBot="1">
      <c r="M86" s="138"/>
    </row>
    <row r="87" spans="2:13" ht="15.75" thickBot="1">
      <c r="B87" s="289" t="s">
        <v>255</v>
      </c>
      <c r="C87" s="278" t="s">
        <v>0</v>
      </c>
      <c r="D87" s="278" t="s">
        <v>335</v>
      </c>
      <c r="E87" s="278" t="s">
        <v>336</v>
      </c>
      <c r="F87" s="278" t="s">
        <v>260</v>
      </c>
      <c r="G87" s="278" t="s">
        <v>337</v>
      </c>
      <c r="H87" s="278" t="s">
        <v>338</v>
      </c>
      <c r="I87" s="279" t="s">
        <v>261</v>
      </c>
      <c r="J87" s="178"/>
      <c r="K87" s="145" t="s">
        <v>262</v>
      </c>
      <c r="L87" s="179"/>
      <c r="M87" s="145" t="s">
        <v>263</v>
      </c>
    </row>
    <row r="88" spans="2:13">
      <c r="B88" s="284" t="s">
        <v>386</v>
      </c>
      <c r="C88" s="273" t="str">
        <f ca="1">Sensitivities!B28</f>
        <v>1D</v>
      </c>
      <c r="D88" s="297">
        <f ca="1">IFERROR(VLOOKUP(B88&amp;"_"&amp;C88,'MX IRS Sensi'!$A$2:$E$200,4,FALSE),0)</f>
        <v>4.4245207701833503E-2</v>
      </c>
      <c r="E88" s="297">
        <f ca="1">VLOOKUP(C88,Sensitivities!$J$28:$L$64,2,FALSE)</f>
        <v>4.4245207701832268E-2</v>
      </c>
      <c r="F88" s="297">
        <f ca="1">E88-D88</f>
        <v>-1.2351231148954867E-15</v>
      </c>
      <c r="G88" s="297">
        <f ca="1">IFERROR(VLOOKUP(B88&amp;"_"&amp;C88,'MX IRS Sensi'!$A$2:$E$200,5,FALSE),0)</f>
        <v>-1.2121974712829999E-8</v>
      </c>
      <c r="H88" s="297">
        <f ca="1">VLOOKUP(C88,Sensitivities!$J$28:$L$64,3,FALSE)</f>
        <v>-1.2121974712830759E-8</v>
      </c>
      <c r="I88" s="291">
        <f ca="1">H88-G88</f>
        <v>-7.5935180232367941E-22</v>
      </c>
      <c r="K88" s="142" t="str">
        <f t="shared" ref="K88:K123" ca="1" si="16">IF(ABS(F88)&lt;$F$1,"Pass","Fail")</f>
        <v>Pass</v>
      </c>
      <c r="L88" s="139"/>
      <c r="M88" s="142" t="str">
        <f t="shared" ref="M88:M123" ca="1" si="17">IF(ABS(I88)&lt;$F$1,"Pass","Fail")</f>
        <v>Pass</v>
      </c>
    </row>
    <row r="89" spans="2:13">
      <c r="B89" s="285" t="s">
        <v>386</v>
      </c>
      <c r="C89" s="275" t="str">
        <f ca="1">Sensitivities!B29</f>
        <v>7D</v>
      </c>
      <c r="D89" s="280">
        <f ca="1">IFERROR(VLOOKUP(B89&amp;"_"&amp;C89,'MX IRS Sensi'!$A$2:$E$200,4,FALSE),0)</f>
        <v>0</v>
      </c>
      <c r="E89" s="280">
        <f ca="1">VLOOKUP(C89,Sensitivities!$J$28:$L$64,2,FALSE)</f>
        <v>0</v>
      </c>
      <c r="F89" s="280">
        <f t="shared" ref="F89:F123" ca="1" si="18">E89-D89</f>
        <v>0</v>
      </c>
      <c r="G89" s="280">
        <f ca="1">IFERROR(VLOOKUP(B89&amp;"_"&amp;C89,'MX IRS Sensi'!$A$2:$E$200,5,FALSE),0)</f>
        <v>0</v>
      </c>
      <c r="H89" s="280">
        <f ca="1">VLOOKUP(C89,Sensitivities!$J$28:$L$64,3,FALSE)</f>
        <v>0</v>
      </c>
      <c r="I89" s="286">
        <f t="shared" ref="I89:I123" ca="1" si="19">H89-G89</f>
        <v>0</v>
      </c>
      <c r="K89" s="142" t="str">
        <f t="shared" ca="1" si="16"/>
        <v>Pass</v>
      </c>
      <c r="L89" s="139"/>
      <c r="M89" s="142" t="str">
        <f t="shared" ca="1" si="17"/>
        <v>Pass</v>
      </c>
    </row>
    <row r="90" spans="2:13">
      <c r="B90" s="285" t="s">
        <v>386</v>
      </c>
      <c r="C90" s="275" t="str">
        <f ca="1">Sensitivities!B30</f>
        <v>14D</v>
      </c>
      <c r="D90" s="280">
        <f ca="1">IFERROR(VLOOKUP(B90&amp;"_"&amp;C90,'MX IRS Sensi'!$A$2:$E$200,4,FALSE),0)</f>
        <v>0</v>
      </c>
      <c r="E90" s="280">
        <f ca="1">VLOOKUP(C90,Sensitivities!$J$28:$L$64,2,FALSE)</f>
        <v>0</v>
      </c>
      <c r="F90" s="280">
        <f t="shared" ca="1" si="18"/>
        <v>0</v>
      </c>
      <c r="G90" s="280">
        <f ca="1">IFERROR(VLOOKUP(B90&amp;"_"&amp;C90,'MX IRS Sensi'!$A$2:$E$200,5,FALSE),0)</f>
        <v>0</v>
      </c>
      <c r="H90" s="280">
        <f ca="1">VLOOKUP(C90,Sensitivities!$J$28:$L$64,3,FALSE)</f>
        <v>0</v>
      </c>
      <c r="I90" s="286">
        <f t="shared" ca="1" si="19"/>
        <v>0</v>
      </c>
      <c r="K90" s="142" t="str">
        <f t="shared" ca="1" si="16"/>
        <v>Pass</v>
      </c>
      <c r="L90" s="139"/>
      <c r="M90" s="142" t="str">
        <f t="shared" ca="1" si="17"/>
        <v>Pass</v>
      </c>
    </row>
    <row r="91" spans="2:13">
      <c r="B91" s="285" t="s">
        <v>386</v>
      </c>
      <c r="C91" s="275" t="str">
        <f ca="1">Sensitivities!B31</f>
        <v>21D</v>
      </c>
      <c r="D91" s="280">
        <f ca="1">IFERROR(VLOOKUP(B91&amp;"_"&amp;C91,'MX IRS Sensi'!$A$2:$E$200,4,FALSE),0)</f>
        <v>0</v>
      </c>
      <c r="E91" s="280">
        <f ca="1">VLOOKUP(C91,Sensitivities!$J$28:$L$64,2,FALSE)</f>
        <v>0</v>
      </c>
      <c r="F91" s="280">
        <f t="shared" ca="1" si="18"/>
        <v>0</v>
      </c>
      <c r="G91" s="280">
        <f ca="1">IFERROR(VLOOKUP(B91&amp;"_"&amp;C91,'MX IRS Sensi'!$A$2:$E$200,5,FALSE),0)</f>
        <v>0</v>
      </c>
      <c r="H91" s="280">
        <f ca="1">VLOOKUP(C91,Sensitivities!$J$28:$L$64,3,FALSE)</f>
        <v>0</v>
      </c>
      <c r="I91" s="286">
        <f t="shared" ca="1" si="19"/>
        <v>0</v>
      </c>
      <c r="K91" s="142" t="str">
        <f t="shared" ca="1" si="16"/>
        <v>Pass</v>
      </c>
      <c r="L91" s="139"/>
      <c r="M91" s="142" t="str">
        <f t="shared" ca="1" si="17"/>
        <v>Pass</v>
      </c>
    </row>
    <row r="92" spans="2:13">
      <c r="B92" s="285" t="s">
        <v>386</v>
      </c>
      <c r="C92" s="275" t="str">
        <f ca="1">Sensitivities!B32</f>
        <v>30D</v>
      </c>
      <c r="D92" s="280">
        <f ca="1">IFERROR(VLOOKUP(B92&amp;"_"&amp;C92,'MX IRS Sensi'!$A$2:$E$200,4,FALSE),0)</f>
        <v>0</v>
      </c>
      <c r="E92" s="280">
        <f ca="1">VLOOKUP(C92,Sensitivities!$J$28:$L$64,2,FALSE)</f>
        <v>0</v>
      </c>
      <c r="F92" s="280">
        <f t="shared" ca="1" si="18"/>
        <v>0</v>
      </c>
      <c r="G92" s="280">
        <f ca="1">IFERROR(VLOOKUP(B92&amp;"_"&amp;C92,'MX IRS Sensi'!$A$2:$E$200,5,FALSE),0)</f>
        <v>0</v>
      </c>
      <c r="H92" s="280">
        <f ca="1">VLOOKUP(C92,Sensitivities!$J$28:$L$64,3,FALSE)</f>
        <v>0</v>
      </c>
      <c r="I92" s="286">
        <f t="shared" ca="1" si="19"/>
        <v>0</v>
      </c>
      <c r="K92" s="142" t="str">
        <f t="shared" ca="1" si="16"/>
        <v>Pass</v>
      </c>
      <c r="L92" s="139"/>
      <c r="M92" s="142" t="str">
        <f t="shared" ca="1" si="17"/>
        <v>Pass</v>
      </c>
    </row>
    <row r="93" spans="2:13">
      <c r="B93" s="285" t="s">
        <v>386</v>
      </c>
      <c r="C93" s="275" t="str">
        <f ca="1">Sensitivities!B33</f>
        <v>60D</v>
      </c>
      <c r="D93" s="280">
        <f ca="1">IFERROR(VLOOKUP(B93&amp;"_"&amp;C93,'MX IRS Sensi'!$A$2:$E$200,4,FALSE),0)</f>
        <v>8.4862336441837307</v>
      </c>
      <c r="E93" s="280">
        <f ca="1">VLOOKUP(C93,Sensitivities!$J$28:$L$64,2,FALSE)</f>
        <v>0</v>
      </c>
      <c r="F93" s="280">
        <f t="shared" ca="1" si="18"/>
        <v>-8.4862336441837307</v>
      </c>
      <c r="G93" s="280">
        <f ca="1">IFERROR(VLOOKUP(B93&amp;"_"&amp;C93,'MX IRS Sensi'!$A$2:$E$200,5,FALSE),0)</f>
        <v>-1.4647470674700199E-4</v>
      </c>
      <c r="H93" s="280">
        <f ca="1">VLOOKUP(C93,Sensitivities!$J$28:$L$64,3,FALSE)</f>
        <v>0</v>
      </c>
      <c r="I93" s="286">
        <f t="shared" ca="1" si="19"/>
        <v>1.4647470674700199E-4</v>
      </c>
      <c r="K93" s="142" t="str">
        <f t="shared" ca="1" si="16"/>
        <v>Fail</v>
      </c>
      <c r="L93" s="139"/>
      <c r="M93" s="142" t="str">
        <f t="shared" ca="1" si="17"/>
        <v>Pass</v>
      </c>
    </row>
    <row r="94" spans="2:13">
      <c r="B94" s="285" t="s">
        <v>386</v>
      </c>
      <c r="C94" s="275" t="str">
        <f ca="1">Sensitivities!B34</f>
        <v>91D</v>
      </c>
      <c r="D94" s="280">
        <f ca="1">IFERROR(VLOOKUP(B94&amp;"_"&amp;C94,'MX IRS Sensi'!$A$2:$E$200,4,FALSE),0)</f>
        <v>0.90923931901968602</v>
      </c>
      <c r="E94" s="280">
        <f ca="1">VLOOKUP(C94,Sensitivities!$J$28:$L$64,2,FALSE)</f>
        <v>0</v>
      </c>
      <c r="F94" s="280">
        <f t="shared" ca="1" si="18"/>
        <v>-0.90923931901968602</v>
      </c>
      <c r="G94" s="280">
        <f ca="1">IFERROR(VLOOKUP(B94&amp;"_"&amp;C94,'MX IRS Sensi'!$A$2:$E$200,5,FALSE),0)</f>
        <v>-1.5693719274123599E-5</v>
      </c>
      <c r="H94" s="280">
        <f ca="1">VLOOKUP(C94,Sensitivities!$J$28:$L$64,3,FALSE)</f>
        <v>0</v>
      </c>
      <c r="I94" s="286">
        <f t="shared" ca="1" si="19"/>
        <v>1.5693719274123599E-5</v>
      </c>
      <c r="K94" s="142" t="str">
        <f t="shared" ca="1" si="16"/>
        <v>Fail</v>
      </c>
      <c r="L94" s="139"/>
      <c r="M94" s="142" t="str">
        <f t="shared" ca="1" si="17"/>
        <v>Pass</v>
      </c>
    </row>
    <row r="95" spans="2:13">
      <c r="B95" s="285" t="s">
        <v>386</v>
      </c>
      <c r="C95" s="275" t="str">
        <f ca="1">Sensitivities!B35</f>
        <v>121D</v>
      </c>
      <c r="D95" s="280">
        <f ca="1">IFERROR(VLOOKUP(B95&amp;"_"&amp;C95,'MX IRS Sensi'!$A$2:$E$200,4,FALSE),0)</f>
        <v>0</v>
      </c>
      <c r="E95" s="280">
        <f ca="1">VLOOKUP(C95,Sensitivities!$J$28:$L$64,2,FALSE)</f>
        <v>0</v>
      </c>
      <c r="F95" s="280">
        <f t="shared" ca="1" si="18"/>
        <v>0</v>
      </c>
      <c r="G95" s="280">
        <f ca="1">IFERROR(VLOOKUP(B95&amp;"_"&amp;C95,'MX IRS Sensi'!$A$2:$E$200,5,FALSE),0)</f>
        <v>0</v>
      </c>
      <c r="H95" s="280">
        <f ca="1">VLOOKUP(C95,Sensitivities!$J$28:$L$64,3,FALSE)</f>
        <v>0</v>
      </c>
      <c r="I95" s="286">
        <f t="shared" ca="1" si="19"/>
        <v>0</v>
      </c>
      <c r="K95" s="142" t="str">
        <f t="shared" ca="1" si="16"/>
        <v>Pass</v>
      </c>
      <c r="L95" s="139"/>
      <c r="M95" s="142" t="str">
        <f t="shared" ca="1" si="17"/>
        <v>Pass</v>
      </c>
    </row>
    <row r="96" spans="2:13">
      <c r="B96" s="285" t="s">
        <v>386</v>
      </c>
      <c r="C96" s="275" t="str">
        <f ca="1">Sensitivities!B36</f>
        <v>152D</v>
      </c>
      <c r="D96" s="280">
        <f ca="1">IFERROR(VLOOKUP(B96&amp;"_"&amp;C96,'MX IRS Sensi'!$A$2:$E$200,4,FALSE),0)</f>
        <v>0</v>
      </c>
      <c r="E96" s="280">
        <f ca="1">VLOOKUP(C96,Sensitivities!$J$28:$L$64,2,FALSE)</f>
        <v>0</v>
      </c>
      <c r="F96" s="280">
        <f t="shared" ca="1" si="18"/>
        <v>0</v>
      </c>
      <c r="G96" s="280">
        <f ca="1">IFERROR(VLOOKUP(B96&amp;"_"&amp;C96,'MX IRS Sensi'!$A$2:$E$200,5,FALSE),0)</f>
        <v>0</v>
      </c>
      <c r="H96" s="280">
        <f ca="1">VLOOKUP(C96,Sensitivities!$J$28:$L$64,3,FALSE)</f>
        <v>0</v>
      </c>
      <c r="I96" s="286">
        <f t="shared" ca="1" si="19"/>
        <v>0</v>
      </c>
      <c r="K96" s="142" t="str">
        <f t="shared" ca="1" si="16"/>
        <v>Pass</v>
      </c>
      <c r="L96" s="139"/>
      <c r="M96" s="142" t="str">
        <f t="shared" ca="1" si="17"/>
        <v>Pass</v>
      </c>
    </row>
    <row r="97" spans="2:13">
      <c r="B97" s="285" t="s">
        <v>386</v>
      </c>
      <c r="C97" s="275" t="str">
        <f ca="1">Sensitivities!B37</f>
        <v>182D</v>
      </c>
      <c r="D97" s="280">
        <f ca="1">IFERROR(VLOOKUP(B97&amp;"_"&amp;C97,'MX IRS Sensi'!$A$2:$E$200,4,FALSE),0)</f>
        <v>0</v>
      </c>
      <c r="E97" s="280">
        <f ca="1">VLOOKUP(C97,Sensitivities!$J$28:$L$64,2,FALSE)</f>
        <v>0</v>
      </c>
      <c r="F97" s="280">
        <f t="shared" ca="1" si="18"/>
        <v>0</v>
      </c>
      <c r="G97" s="280">
        <f ca="1">IFERROR(VLOOKUP(B97&amp;"_"&amp;C97,'MX IRS Sensi'!$A$2:$E$200,5,FALSE),0)</f>
        <v>0</v>
      </c>
      <c r="H97" s="280">
        <f ca="1">VLOOKUP(C97,Sensitivities!$J$28:$L$64,3,FALSE)</f>
        <v>0</v>
      </c>
      <c r="I97" s="286">
        <f t="shared" ca="1" si="19"/>
        <v>0</v>
      </c>
      <c r="K97" s="142" t="str">
        <f t="shared" ca="1" si="16"/>
        <v>Pass</v>
      </c>
      <c r="L97" s="139"/>
      <c r="M97" s="142" t="str">
        <f t="shared" ca="1" si="17"/>
        <v>Pass</v>
      </c>
    </row>
    <row r="98" spans="2:13">
      <c r="B98" s="285" t="s">
        <v>386</v>
      </c>
      <c r="C98" s="275" t="str">
        <f ca="1">Sensitivities!B38</f>
        <v>212D</v>
      </c>
      <c r="D98" s="280">
        <f ca="1">IFERROR(VLOOKUP(B98&amp;"_"&amp;C98,'MX IRS Sensi'!$A$2:$E$200,4,FALSE),0)</f>
        <v>468.33799640087398</v>
      </c>
      <c r="E98" s="280">
        <f ca="1">VLOOKUP(C98,Sensitivities!$J$28:$L$64,2,FALSE)</f>
        <v>311.37506256093695</v>
      </c>
      <c r="F98" s="280">
        <f t="shared" ca="1" si="18"/>
        <v>-156.96293383993702</v>
      </c>
      <c r="G98" s="280">
        <f ca="1">IFERROR(VLOOKUP(B98&amp;"_"&amp;C98,'MX IRS Sensi'!$A$2:$E$200,5,FALSE),0)</f>
        <v>-2.9146778749034E-2</v>
      </c>
      <c r="H98" s="280">
        <f ca="1">VLOOKUP(C98,Sensitivities!$J$28:$L$64,3,FALSE)</f>
        <v>-1.939264987829932E-2</v>
      </c>
      <c r="I98" s="286">
        <f t="shared" ca="1" si="19"/>
        <v>9.7541288707346796E-3</v>
      </c>
      <c r="K98" s="142" t="str">
        <f t="shared" ca="1" si="16"/>
        <v>Fail</v>
      </c>
      <c r="L98" s="139"/>
      <c r="M98" s="142" t="str">
        <f t="shared" ca="1" si="17"/>
        <v>Fail</v>
      </c>
    </row>
    <row r="99" spans="2:13">
      <c r="B99" s="285" t="s">
        <v>386</v>
      </c>
      <c r="C99" s="275" t="str">
        <f ca="1">Sensitivities!B39</f>
        <v>243D</v>
      </c>
      <c r="D99" s="280">
        <f ca="1">IFERROR(VLOOKUP(B99&amp;"_"&amp;C99,'MX IRS Sensi'!$A$2:$E$200,4,FALSE),0)</f>
        <v>1156.7288061644699</v>
      </c>
      <c r="E99" s="280">
        <f ca="1">VLOOKUP(C99,Sensitivities!$J$28:$L$64,2,FALSE)</f>
        <v>761.50882052730265</v>
      </c>
      <c r="F99" s="280">
        <f t="shared" ca="1" si="18"/>
        <v>-395.21998563716727</v>
      </c>
      <c r="G99" s="280">
        <f ca="1">IFERROR(VLOOKUP(B99&amp;"_"&amp;C99,'MX IRS Sensi'!$A$2:$E$200,5,FALSE),0)</f>
        <v>-7.5481137386335106E-2</v>
      </c>
      <c r="H99" s="280">
        <f ca="1">VLOOKUP(C99,Sensitivities!$J$28:$L$64,3,FALSE)</f>
        <v>-4.9652389624096294E-2</v>
      </c>
      <c r="I99" s="286">
        <f t="shared" ca="1" si="19"/>
        <v>2.5828747762238813E-2</v>
      </c>
      <c r="K99" s="142" t="str">
        <f t="shared" ca="1" si="16"/>
        <v>Fail</v>
      </c>
      <c r="L99" s="139"/>
      <c r="M99" s="142" t="str">
        <f t="shared" ca="1" si="17"/>
        <v>Fail</v>
      </c>
    </row>
    <row r="100" spans="2:13">
      <c r="B100" s="285" t="s">
        <v>386</v>
      </c>
      <c r="C100" s="275" t="str">
        <f ca="1">Sensitivities!B40</f>
        <v>273D</v>
      </c>
      <c r="D100" s="280">
        <f ca="1">IFERROR(VLOOKUP(B100&amp;"_"&amp;C100,'MX IRS Sensi'!$A$2:$E$200,4,FALSE),0)</f>
        <v>61.875241862767503</v>
      </c>
      <c r="E100" s="280">
        <f ca="1">VLOOKUP(C100,Sensitivities!$J$28:$L$64,2,FALSE)</f>
        <v>37.511994414621597</v>
      </c>
      <c r="F100" s="280">
        <f t="shared" ca="1" si="18"/>
        <v>-24.363247448145906</v>
      </c>
      <c r="G100" s="280">
        <f ca="1">IFERROR(VLOOKUP(B100&amp;"_"&amp;C100,'MX IRS Sensi'!$A$2:$E$200,5,FALSE),0)</f>
        <v>-4.21170289148787E-3</v>
      </c>
      <c r="H100" s="280">
        <f ca="1">VLOOKUP(C100,Sensitivities!$J$28:$L$64,3,FALSE)</f>
        <v>-2.543708751370105E-3</v>
      </c>
      <c r="I100" s="286">
        <f t="shared" ca="1" si="19"/>
        <v>1.6679941401177649E-3</v>
      </c>
      <c r="K100" s="142" t="str">
        <f t="shared" ca="1" si="16"/>
        <v>Fail</v>
      </c>
      <c r="L100" s="139"/>
      <c r="M100" s="142" t="str">
        <f t="shared" ca="1" si="17"/>
        <v>Pass</v>
      </c>
    </row>
    <row r="101" spans="2:13">
      <c r="B101" s="285" t="s">
        <v>386</v>
      </c>
      <c r="C101" s="275" t="str">
        <f ca="1">Sensitivities!B41</f>
        <v>304D</v>
      </c>
      <c r="D101" s="280">
        <f ca="1">IFERROR(VLOOKUP(B101&amp;"_"&amp;C101,'MX IRS Sensi'!$A$2:$E$200,4,FALSE),0)</f>
        <v>0</v>
      </c>
      <c r="E101" s="280">
        <f ca="1">VLOOKUP(C101,Sensitivities!$J$28:$L$64,2,FALSE)</f>
        <v>0</v>
      </c>
      <c r="F101" s="280">
        <f t="shared" ca="1" si="18"/>
        <v>0</v>
      </c>
      <c r="G101" s="280">
        <f ca="1">IFERROR(VLOOKUP(B101&amp;"_"&amp;C101,'MX IRS Sensi'!$A$2:$E$200,5,FALSE),0)</f>
        <v>0</v>
      </c>
      <c r="H101" s="280">
        <f ca="1">VLOOKUP(C101,Sensitivities!$J$28:$L$64,3,FALSE)</f>
        <v>0</v>
      </c>
      <c r="I101" s="286">
        <f t="shared" ca="1" si="19"/>
        <v>0</v>
      </c>
      <c r="K101" s="142" t="str">
        <f t="shared" ca="1" si="16"/>
        <v>Pass</v>
      </c>
      <c r="L101" s="139"/>
      <c r="M101" s="142" t="str">
        <f t="shared" ca="1" si="17"/>
        <v>Pass</v>
      </c>
    </row>
    <row r="102" spans="2:13">
      <c r="B102" s="285" t="s">
        <v>386</v>
      </c>
      <c r="C102" s="275" t="str">
        <f ca="1">Sensitivities!B42</f>
        <v>334D</v>
      </c>
      <c r="D102" s="280">
        <f ca="1">IFERROR(VLOOKUP(B102&amp;"_"&amp;C102,'MX IRS Sensi'!$A$2:$E$200,4,FALSE),0)</f>
        <v>0</v>
      </c>
      <c r="E102" s="280">
        <f ca="1">VLOOKUP(C102,Sensitivities!$J$28:$L$64,2,FALSE)</f>
        <v>0</v>
      </c>
      <c r="F102" s="280">
        <f t="shared" ca="1" si="18"/>
        <v>0</v>
      </c>
      <c r="G102" s="280">
        <f ca="1">IFERROR(VLOOKUP(B102&amp;"_"&amp;C102,'MX IRS Sensi'!$A$2:$E$200,5,FALSE),0)</f>
        <v>0</v>
      </c>
      <c r="H102" s="280">
        <f ca="1">VLOOKUP(C102,Sensitivities!$J$28:$L$64,3,FALSE)</f>
        <v>0</v>
      </c>
      <c r="I102" s="286">
        <f t="shared" ca="1" si="19"/>
        <v>0</v>
      </c>
      <c r="K102" s="142" t="str">
        <f t="shared" ca="1" si="16"/>
        <v>Pass</v>
      </c>
      <c r="L102" s="139"/>
      <c r="M102" s="142" t="str">
        <f t="shared" ca="1" si="17"/>
        <v>Pass</v>
      </c>
    </row>
    <row r="103" spans="2:13">
      <c r="B103" s="285" t="s">
        <v>386</v>
      </c>
      <c r="C103" s="275" t="str">
        <f ca="1">Sensitivities!B43</f>
        <v>365D</v>
      </c>
      <c r="D103" s="280">
        <f ca="1">IFERROR(VLOOKUP(B103&amp;"_"&amp;C103,'MX IRS Sensi'!$A$2:$E$200,4,FALSE),0)</f>
        <v>307.86680931427099</v>
      </c>
      <c r="E103" s="280">
        <f ca="1">VLOOKUP(C103,Sensitivities!$J$28:$L$64,2,FALSE)</f>
        <v>307.86680931427748</v>
      </c>
      <c r="F103" s="280">
        <f t="shared" ca="1" si="18"/>
        <v>6.4801497501321137E-12</v>
      </c>
      <c r="G103" s="280">
        <f ca="1">IFERROR(VLOOKUP(B103&amp;"_"&amp;C103,'MX IRS Sensi'!$A$2:$E$200,5,FALSE),0)</f>
        <v>-3.0955360014339701E-2</v>
      </c>
      <c r="H103" s="280">
        <f ca="1">VLOOKUP(C103,Sensitivities!$J$28:$L$64,3,FALSE)</f>
        <v>-3.0955375073517762E-2</v>
      </c>
      <c r="I103" s="286">
        <f t="shared" ca="1" si="19"/>
        <v>-1.5059178060800038E-8</v>
      </c>
      <c r="K103" s="142" t="str">
        <f t="shared" ca="1" si="16"/>
        <v>Pass</v>
      </c>
      <c r="L103" s="139"/>
      <c r="M103" s="142" t="str">
        <f t="shared" ca="1" si="17"/>
        <v>Pass</v>
      </c>
    </row>
    <row r="104" spans="2:13">
      <c r="B104" s="285" t="s">
        <v>386</v>
      </c>
      <c r="C104" s="275" t="str">
        <f ca="1">Sensitivities!B44</f>
        <v>456D</v>
      </c>
      <c r="D104" s="280">
        <f ca="1">IFERROR(VLOOKUP(B104&amp;"_"&amp;C104,'MX IRS Sensi'!$A$2:$E$200,4,FALSE),0)</f>
        <v>6.9183552654892404</v>
      </c>
      <c r="E104" s="280">
        <f ca="1">VLOOKUP(C104,Sensitivities!$J$28:$L$64,2,FALSE)</f>
        <v>6.9183552654893816</v>
      </c>
      <c r="F104" s="280">
        <f t="shared" ca="1" si="18"/>
        <v>1.4122036873231991E-13</v>
      </c>
      <c r="G104" s="280">
        <f ca="1">IFERROR(VLOOKUP(B104&amp;"_"&amp;C104,'MX IRS Sensi'!$A$2:$E$200,5,FALSE),0)</f>
        <v>-6.9562623330465801E-4</v>
      </c>
      <c r="H104" s="280">
        <f ca="1">VLOOKUP(C104,Sensitivities!$J$28:$L$64,3,FALSE)</f>
        <v>-6.9562640614646658E-4</v>
      </c>
      <c r="I104" s="286">
        <f t="shared" ca="1" si="19"/>
        <v>-1.7284180857390918E-10</v>
      </c>
      <c r="K104" s="142" t="str">
        <f t="shared" ca="1" si="16"/>
        <v>Pass</v>
      </c>
      <c r="L104" s="139"/>
      <c r="M104" s="142" t="str">
        <f t="shared" ca="1" si="17"/>
        <v>Pass</v>
      </c>
    </row>
    <row r="105" spans="2:13">
      <c r="B105" s="285" t="s">
        <v>386</v>
      </c>
      <c r="C105" s="275" t="str">
        <f ca="1">Sensitivities!B45</f>
        <v>547D</v>
      </c>
      <c r="D105" s="280">
        <f ca="1">IFERROR(VLOOKUP(B105&amp;"_"&amp;C105,'MX IRS Sensi'!$A$2:$E$200,4,FALSE),0)</f>
        <v>0</v>
      </c>
      <c r="E105" s="280">
        <f ca="1">VLOOKUP(C105,Sensitivities!$J$28:$L$64,2,FALSE)</f>
        <v>0</v>
      </c>
      <c r="F105" s="280">
        <f t="shared" ca="1" si="18"/>
        <v>0</v>
      </c>
      <c r="G105" s="280">
        <f ca="1">IFERROR(VLOOKUP(B105&amp;"_"&amp;C105,'MX IRS Sensi'!$A$2:$E$200,5,FALSE),0)</f>
        <v>0</v>
      </c>
      <c r="H105" s="280">
        <f ca="1">VLOOKUP(C105,Sensitivities!$J$28:$L$64,3,FALSE)</f>
        <v>0</v>
      </c>
      <c r="I105" s="286">
        <f t="shared" ca="1" si="19"/>
        <v>0</v>
      </c>
      <c r="K105" s="142" t="str">
        <f t="shared" ca="1" si="16"/>
        <v>Pass</v>
      </c>
      <c r="L105" s="139"/>
      <c r="M105" s="142" t="str">
        <f t="shared" ca="1" si="17"/>
        <v>Pass</v>
      </c>
    </row>
    <row r="106" spans="2:13">
      <c r="B106" s="285" t="s">
        <v>386</v>
      </c>
      <c r="C106" s="275" t="str">
        <f ca="1">Sensitivities!B46</f>
        <v>638D</v>
      </c>
      <c r="D106" s="280">
        <f ca="1">IFERROR(VLOOKUP(B106&amp;"_"&amp;C106,'MX IRS Sensi'!$A$2:$E$200,4,FALSE),0)</f>
        <v>-255.56668495628099</v>
      </c>
      <c r="E106" s="280">
        <f ca="1">VLOOKUP(C106,Sensitivities!$J$28:$L$64,2,FALSE)</f>
        <v>0</v>
      </c>
      <c r="F106" s="280">
        <f t="shared" ca="1" si="18"/>
        <v>255.56668495628099</v>
      </c>
      <c r="G106" s="280">
        <f ca="1">IFERROR(VLOOKUP(B106&amp;"_"&amp;C106,'MX IRS Sensi'!$A$2:$E$200,5,FALSE),0)</f>
        <v>4.4881673465635402E-2</v>
      </c>
      <c r="H106" s="280">
        <f ca="1">VLOOKUP(C106,Sensitivities!$J$28:$L$64,3,FALSE)</f>
        <v>0</v>
      </c>
      <c r="I106" s="286">
        <f t="shared" ca="1" si="19"/>
        <v>-4.4881673465635402E-2</v>
      </c>
      <c r="K106" s="142" t="str">
        <f t="shared" ca="1" si="16"/>
        <v>Fail</v>
      </c>
      <c r="L106" s="139"/>
      <c r="M106" s="142" t="str">
        <f t="shared" ca="1" si="17"/>
        <v>Fail</v>
      </c>
    </row>
    <row r="107" spans="2:13">
      <c r="B107" s="285" t="s">
        <v>386</v>
      </c>
      <c r="C107" s="275" t="str">
        <f ca="1">Sensitivities!B47</f>
        <v>730D</v>
      </c>
      <c r="D107" s="280">
        <f ca="1">IFERROR(VLOOKUP(B107&amp;"_"&amp;C107,'MX IRS Sensi'!$A$2:$E$200,4,FALSE),0)</f>
        <v>-173.38463895316499</v>
      </c>
      <c r="E107" s="280">
        <f ca="1">VLOOKUP(C107,Sensitivities!$J$28:$L$64,2,FALSE)</f>
        <v>-164.77003159476666</v>
      </c>
      <c r="F107" s="280">
        <f t="shared" ca="1" si="18"/>
        <v>8.6146073583983309</v>
      </c>
      <c r="G107" s="280">
        <f ca="1">IFERROR(VLOOKUP(B107&amp;"_"&amp;C107,'MX IRS Sensi'!$A$2:$E$200,5,FALSE),0)</f>
        <v>5.2684291953486499E-2</v>
      </c>
      <c r="H107" s="280">
        <f ca="1">VLOOKUP(C107,Sensitivities!$J$28:$L$64,3,FALSE)</f>
        <v>5.1171453248644812E-2</v>
      </c>
      <c r="I107" s="286">
        <f t="shared" ca="1" si="19"/>
        <v>-1.5128387048416875E-3</v>
      </c>
      <c r="K107" s="142" t="str">
        <f t="shared" ca="1" si="16"/>
        <v>Fail</v>
      </c>
      <c r="L107" s="139"/>
      <c r="M107" s="142" t="str">
        <f t="shared" ca="1" si="17"/>
        <v>Pass</v>
      </c>
    </row>
    <row r="108" spans="2:13">
      <c r="B108" s="285" t="s">
        <v>386</v>
      </c>
      <c r="C108" s="275" t="str">
        <f ca="1">Sensitivities!B48</f>
        <v>1095D</v>
      </c>
      <c r="D108" s="280">
        <f ca="1">IFERROR(VLOOKUP(B108&amp;"_"&amp;C108,'MX IRS Sensi'!$A$2:$E$200,4,FALSE),0)</f>
        <v>-1104.9892324586399</v>
      </c>
      <c r="E108" s="280">
        <f ca="1">VLOOKUP(C108,Sensitivities!$J$28:$L$64,2,FALSE)</f>
        <v>-1104.9892324577499</v>
      </c>
      <c r="F108" s="280">
        <f t="shared" ca="1" si="18"/>
        <v>8.8994056568481028E-10</v>
      </c>
      <c r="G108" s="280">
        <f ca="1">IFERROR(VLOOKUP(B108&amp;"_"&amp;C108,'MX IRS Sensi'!$A$2:$E$200,5,FALSE),0)</f>
        <v>0.31327897537565502</v>
      </c>
      <c r="H108" s="280">
        <f ca="1">VLOOKUP(C108,Sensitivities!$J$28:$L$64,3,FALSE)</f>
        <v>0.31327932280763349</v>
      </c>
      <c r="I108" s="286">
        <f t="shared" ca="1" si="19"/>
        <v>3.4743197846465179E-7</v>
      </c>
      <c r="K108" s="142" t="str">
        <f t="shared" ca="1" si="16"/>
        <v>Pass</v>
      </c>
      <c r="L108" s="139"/>
      <c r="M108" s="142" t="str">
        <f t="shared" ca="1" si="17"/>
        <v>Pass</v>
      </c>
    </row>
    <row r="109" spans="2:13">
      <c r="B109" s="285" t="s">
        <v>386</v>
      </c>
      <c r="C109" s="275" t="str">
        <f ca="1">Sensitivities!B49</f>
        <v>1460D</v>
      </c>
      <c r="D109" s="280">
        <f ca="1">IFERROR(VLOOKUP(B109&amp;"_"&amp;C109,'MX IRS Sensi'!$A$2:$E$200,4,FALSE),0)</f>
        <v>-9.947598E-14</v>
      </c>
      <c r="E109" s="280">
        <f ca="1">VLOOKUP(C109,Sensitivities!$J$28:$L$64,2,FALSE)</f>
        <v>9.131703910658357E-14</v>
      </c>
      <c r="F109" s="280">
        <f t="shared" ca="1" si="18"/>
        <v>1.9079301910658357E-13</v>
      </c>
      <c r="G109" s="280">
        <f ca="1">IFERROR(VLOOKUP(B109&amp;"_"&amp;C109,'MX IRS Sensi'!$A$2:$E$200,5,FALSE),0)</f>
        <v>2.9900000000000003E-17</v>
      </c>
      <c r="H109" s="280">
        <f ca="1">VLOOKUP(C109,Sensitivities!$J$28:$L$64,3,FALSE)</f>
        <v>-2.7520203566367651E-17</v>
      </c>
      <c r="I109" s="286">
        <f t="shared" ca="1" si="19"/>
        <v>-5.7420203566367656E-17</v>
      </c>
      <c r="K109" s="142" t="str">
        <f t="shared" ca="1" si="16"/>
        <v>Pass</v>
      </c>
      <c r="L109" s="139"/>
      <c r="M109" s="142" t="str">
        <f t="shared" ca="1" si="17"/>
        <v>Pass</v>
      </c>
    </row>
    <row r="110" spans="2:13">
      <c r="B110" s="285" t="s">
        <v>386</v>
      </c>
      <c r="C110" s="275" t="str">
        <f ca="1">Sensitivities!B50</f>
        <v>1825D</v>
      </c>
      <c r="D110" s="280">
        <f ca="1">IFERROR(VLOOKUP(B110&amp;"_"&amp;C110,'MX IRS Sensi'!$A$2:$E$200,4,FALSE),0)</f>
        <v>0</v>
      </c>
      <c r="E110" s="280">
        <f ca="1">VLOOKUP(C110,Sensitivities!$J$28:$L$64,2,FALSE)</f>
        <v>0</v>
      </c>
      <c r="F110" s="280">
        <f t="shared" ca="1" si="18"/>
        <v>0</v>
      </c>
      <c r="G110" s="280">
        <f ca="1">IFERROR(VLOOKUP(B110&amp;"_"&amp;C110,'MX IRS Sensi'!$A$2:$E$200,5,FALSE),0)</f>
        <v>0</v>
      </c>
      <c r="H110" s="280">
        <f ca="1">VLOOKUP(C110,Sensitivities!$J$28:$L$64,3,FALSE)</f>
        <v>0</v>
      </c>
      <c r="I110" s="286">
        <f t="shared" ca="1" si="19"/>
        <v>0</v>
      </c>
      <c r="K110" s="142" t="str">
        <f t="shared" ca="1" si="16"/>
        <v>Pass</v>
      </c>
      <c r="L110" s="139"/>
      <c r="M110" s="142" t="str">
        <f t="shared" ca="1" si="17"/>
        <v>Pass</v>
      </c>
    </row>
    <row r="111" spans="2:13">
      <c r="B111" s="285" t="s">
        <v>386</v>
      </c>
      <c r="C111" s="275" t="str">
        <f ca="1">Sensitivities!B51</f>
        <v>2190D</v>
      </c>
      <c r="D111" s="280">
        <f ca="1">IFERROR(VLOOKUP(B111&amp;"_"&amp;C111,'MX IRS Sensi'!$A$2:$E$200,4,FALSE),0)</f>
        <v>0</v>
      </c>
      <c r="E111" s="280">
        <f ca="1">VLOOKUP(C111,Sensitivities!$J$28:$L$64,2,FALSE)</f>
        <v>0</v>
      </c>
      <c r="F111" s="280">
        <f t="shared" ca="1" si="18"/>
        <v>0</v>
      </c>
      <c r="G111" s="280">
        <f ca="1">IFERROR(VLOOKUP(B111&amp;"_"&amp;C111,'MX IRS Sensi'!$A$2:$E$200,5,FALSE),0)</f>
        <v>0</v>
      </c>
      <c r="H111" s="280">
        <f ca="1">VLOOKUP(C111,Sensitivities!$J$28:$L$64,3,FALSE)</f>
        <v>0</v>
      </c>
      <c r="I111" s="286">
        <f t="shared" ca="1" si="19"/>
        <v>0</v>
      </c>
      <c r="K111" s="142" t="str">
        <f t="shared" ca="1" si="16"/>
        <v>Pass</v>
      </c>
      <c r="L111" s="139"/>
      <c r="M111" s="142" t="str">
        <f t="shared" ca="1" si="17"/>
        <v>Pass</v>
      </c>
    </row>
    <row r="112" spans="2:13">
      <c r="B112" s="285" t="s">
        <v>386</v>
      </c>
      <c r="C112" s="275" t="str">
        <f ca="1">Sensitivities!B52</f>
        <v>2555D</v>
      </c>
      <c r="D112" s="280">
        <f ca="1">IFERROR(VLOOKUP(B112&amp;"_"&amp;C112,'MX IRS Sensi'!$A$2:$E$200,4,FALSE),0)</f>
        <v>0</v>
      </c>
      <c r="E112" s="280">
        <f ca="1">VLOOKUP(C112,Sensitivities!$J$28:$L$64,2,FALSE)</f>
        <v>0</v>
      </c>
      <c r="F112" s="280">
        <f t="shared" ca="1" si="18"/>
        <v>0</v>
      </c>
      <c r="G112" s="280">
        <f ca="1">IFERROR(VLOOKUP(B112&amp;"_"&amp;C112,'MX IRS Sensi'!$A$2:$E$200,5,FALSE),0)</f>
        <v>0</v>
      </c>
      <c r="H112" s="280">
        <f ca="1">VLOOKUP(C112,Sensitivities!$J$28:$L$64,3,FALSE)</f>
        <v>0</v>
      </c>
      <c r="I112" s="286">
        <f t="shared" ca="1" si="19"/>
        <v>0</v>
      </c>
      <c r="K112" s="142" t="str">
        <f t="shared" ca="1" si="16"/>
        <v>Pass</v>
      </c>
      <c r="L112" s="139"/>
      <c r="M112" s="142" t="str">
        <f t="shared" ca="1" si="17"/>
        <v>Pass</v>
      </c>
    </row>
    <row r="113" spans="2:13">
      <c r="B113" s="285" t="s">
        <v>386</v>
      </c>
      <c r="C113" s="275" t="str">
        <f ca="1">Sensitivities!B53</f>
        <v>2920D</v>
      </c>
      <c r="D113" s="280">
        <f ca="1">IFERROR(VLOOKUP(B113&amp;"_"&amp;C113,'MX IRS Sensi'!$A$2:$E$200,4,FALSE),0)</f>
        <v>8.0013898463599993E-9</v>
      </c>
      <c r="E113" s="280">
        <f ca="1">VLOOKUP(C113,Sensitivities!$J$28:$L$64,2,FALSE)</f>
        <v>0</v>
      </c>
      <c r="F113" s="280">
        <f t="shared" ca="1" si="18"/>
        <v>-8.0013898463599993E-9</v>
      </c>
      <c r="G113" s="280">
        <f ca="1">IFERROR(VLOOKUP(B113&amp;"_"&amp;C113,'MX IRS Sensi'!$A$2:$E$200,5,FALSE),0)</f>
        <v>0</v>
      </c>
      <c r="H113" s="280">
        <f ca="1">VLOOKUP(C113,Sensitivities!$J$28:$L$64,3,FALSE)</f>
        <v>0</v>
      </c>
      <c r="I113" s="286">
        <f t="shared" ca="1" si="19"/>
        <v>0</v>
      </c>
      <c r="K113" s="142" t="str">
        <f t="shared" ca="1" si="16"/>
        <v>Pass</v>
      </c>
      <c r="L113" s="139"/>
      <c r="M113" s="142" t="str">
        <f t="shared" ca="1" si="17"/>
        <v>Pass</v>
      </c>
    </row>
    <row r="114" spans="2:13">
      <c r="B114" s="285" t="s">
        <v>386</v>
      </c>
      <c r="C114" s="275" t="str">
        <f ca="1">Sensitivities!B54</f>
        <v>3285D</v>
      </c>
      <c r="D114" s="280">
        <f ca="1">IFERROR(VLOOKUP(B114&amp;"_"&amp;C114,'MX IRS Sensi'!$A$2:$E$200,4,FALSE),0)</f>
        <v>-27846.801783979699</v>
      </c>
      <c r="E114" s="280">
        <f ca="1">VLOOKUP(C114,Sensitivities!$J$28:$L$64,2,FALSE)</f>
        <v>0</v>
      </c>
      <c r="F114" s="280">
        <f t="shared" ca="1" si="18"/>
        <v>27846.801783979699</v>
      </c>
      <c r="G114" s="280">
        <f ca="1">IFERROR(VLOOKUP(B114&amp;"_"&amp;C114,'MX IRS Sensi'!$A$2:$E$200,5,FALSE),0)</f>
        <v>25.107897170195201</v>
      </c>
      <c r="H114" s="280">
        <f ca="1">VLOOKUP(C114,Sensitivities!$J$28:$L$64,3,FALSE)</f>
        <v>0</v>
      </c>
      <c r="I114" s="286">
        <f t="shared" ca="1" si="19"/>
        <v>-25.107897170195201</v>
      </c>
      <c r="K114" s="142" t="str">
        <f t="shared" ca="1" si="16"/>
        <v>Fail</v>
      </c>
      <c r="L114" s="139"/>
      <c r="M114" s="142" t="str">
        <f t="shared" ca="1" si="17"/>
        <v>Fail</v>
      </c>
    </row>
    <row r="115" spans="2:13">
      <c r="B115" s="285" t="s">
        <v>386</v>
      </c>
      <c r="C115" s="275" t="str">
        <f ca="1">Sensitivities!B55</f>
        <v>3650D</v>
      </c>
      <c r="D115" s="280">
        <f ca="1">IFERROR(VLOOKUP(B115&amp;"_"&amp;C115,'MX IRS Sensi'!$A$2:$E$200,4,FALSE),0)</f>
        <v>-18159.831896031901</v>
      </c>
      <c r="E115" s="280">
        <f ca="1">VLOOKUP(C115,Sensitivities!$J$28:$L$64,2,FALSE)</f>
        <v>-15038.834420706307</v>
      </c>
      <c r="F115" s="280">
        <f t="shared" ca="1" si="18"/>
        <v>3120.9974753255938</v>
      </c>
      <c r="G115" s="280">
        <f ca="1">IFERROR(VLOOKUP(B115&amp;"_"&amp;C115,'MX IRS Sensi'!$A$2:$E$200,5,FALSE),0)</f>
        <v>20.067034863277499</v>
      </c>
      <c r="H115" s="280">
        <f ca="1">VLOOKUP(C115,Sensitivities!$J$28:$L$64,3,FALSE)</f>
        <v>16.566243898163869</v>
      </c>
      <c r="I115" s="286">
        <f t="shared" ca="1" si="19"/>
        <v>-3.5007909651136302</v>
      </c>
      <c r="K115" s="142" t="str">
        <f t="shared" ca="1" si="16"/>
        <v>Fail</v>
      </c>
      <c r="L115" s="139"/>
      <c r="M115" s="142" t="str">
        <f t="shared" ca="1" si="17"/>
        <v>Fail</v>
      </c>
    </row>
    <row r="116" spans="2:13">
      <c r="B116" s="285" t="s">
        <v>386</v>
      </c>
      <c r="C116" s="275" t="str">
        <f ca="1">Sensitivities!B56</f>
        <v>4380D</v>
      </c>
      <c r="D116" s="280">
        <f ca="1">IFERROR(VLOOKUP(B116&amp;"_"&amp;C116,'MX IRS Sensi'!$A$2:$E$200,4,FALSE),0)</f>
        <v>-26204.6627346811</v>
      </c>
      <c r="E116" s="280">
        <f ca="1">VLOOKUP(C116,Sensitivities!$J$28:$L$64,2,FALSE)</f>
        <v>-15490.725350780691</v>
      </c>
      <c r="F116" s="280">
        <f t="shared" ca="1" si="18"/>
        <v>10713.937383900409</v>
      </c>
      <c r="G116" s="280">
        <f ca="1">IFERROR(VLOOKUP(B116&amp;"_"&amp;C116,'MX IRS Sensi'!$A$2:$E$200,5,FALSE),0)</f>
        <v>29.4924628512717</v>
      </c>
      <c r="H116" s="280">
        <f ca="1">VLOOKUP(C116,Sensitivities!$J$28:$L$64,3,FALSE)</f>
        <v>17.061460943479268</v>
      </c>
      <c r="I116" s="286">
        <f t="shared" ca="1" si="19"/>
        <v>-12.431001907792432</v>
      </c>
      <c r="K116" s="142" t="str">
        <f t="shared" ca="1" si="16"/>
        <v>Fail</v>
      </c>
      <c r="L116" s="139"/>
      <c r="M116" s="142" t="str">
        <f t="shared" ca="1" si="17"/>
        <v>Fail</v>
      </c>
    </row>
    <row r="117" spans="2:13">
      <c r="B117" s="285" t="s">
        <v>386</v>
      </c>
      <c r="C117" s="275" t="str">
        <f ca="1">Sensitivities!B57</f>
        <v>5475D</v>
      </c>
      <c r="D117" s="280">
        <f ca="1">IFERROR(VLOOKUP(B117&amp;"_"&amp;C117,'MX IRS Sensi'!$A$2:$E$200,4,FALSE),0)</f>
        <v>-3.7814885066999999E-10</v>
      </c>
      <c r="E117" s="280">
        <f ca="1">VLOOKUP(C117,Sensitivities!$J$28:$L$64,2,FALSE)</f>
        <v>4.5418803620722261E-11</v>
      </c>
      <c r="F117" s="280">
        <f t="shared" ca="1" si="18"/>
        <v>4.2356765429072226E-10</v>
      </c>
      <c r="G117" s="280">
        <f ca="1">IFERROR(VLOOKUP(B117&amp;"_"&amp;C117,'MX IRS Sensi'!$A$2:$E$200,5,FALSE),0)</f>
        <v>1.2172812758000001E-10</v>
      </c>
      <c r="H117" s="280">
        <f ca="1">VLOOKUP(C117,Sensitivities!$J$28:$L$64,3,FALSE)</f>
        <v>-6.8215309985972447E-14</v>
      </c>
      <c r="I117" s="286">
        <f t="shared" ca="1" si="19"/>
        <v>-1.2179634288998598E-10</v>
      </c>
      <c r="K117" s="142" t="str">
        <f t="shared" ca="1" si="16"/>
        <v>Pass</v>
      </c>
      <c r="L117" s="139"/>
      <c r="M117" s="142" t="str">
        <f t="shared" ca="1" si="17"/>
        <v>Pass</v>
      </c>
    </row>
    <row r="118" spans="2:13">
      <c r="B118" s="285" t="s">
        <v>386</v>
      </c>
      <c r="C118" s="275" t="str">
        <f ca="1">Sensitivities!B58</f>
        <v>7300D</v>
      </c>
      <c r="D118" s="280">
        <f ca="1">IFERROR(VLOOKUP(B118&amp;"_"&amp;C118,'MX IRS Sensi'!$A$2:$E$200,4,FALSE),0)</f>
        <v>-3.1207036954999998E-10</v>
      </c>
      <c r="E118" s="280">
        <f ca="1">VLOOKUP(C118,Sensitivities!$J$28:$L$64,2,FALSE)</f>
        <v>1.7487988192797351E-13</v>
      </c>
      <c r="F118" s="280">
        <f t="shared" ca="1" si="18"/>
        <v>3.1224524943192794E-10</v>
      </c>
      <c r="G118" s="280">
        <f ca="1">IFERROR(VLOOKUP(B118&amp;"_"&amp;C118,'MX IRS Sensi'!$A$2:$E$200,5,FALSE),0)</f>
        <v>4.6870211999999998E-13</v>
      </c>
      <c r="H118" s="280">
        <f ca="1">VLOOKUP(C118,Sensitivities!$J$28:$L$64,3,FALSE)</f>
        <v>-2.6265520896689059E-16</v>
      </c>
      <c r="I118" s="286">
        <f t="shared" ca="1" si="19"/>
        <v>-4.6896477520896689E-13</v>
      </c>
      <c r="K118" s="142" t="str">
        <f t="shared" ca="1" si="16"/>
        <v>Pass</v>
      </c>
      <c r="L118" s="139"/>
      <c r="M118" s="142" t="str">
        <f t="shared" ca="1" si="17"/>
        <v>Pass</v>
      </c>
    </row>
    <row r="119" spans="2:13">
      <c r="B119" s="285" t="s">
        <v>386</v>
      </c>
      <c r="C119" s="275" t="str">
        <f ca="1">Sensitivities!B59</f>
        <v>9125D</v>
      </c>
      <c r="D119" s="280">
        <f ca="1">IFERROR(VLOOKUP(B119&amp;"_"&amp;C119,'MX IRS Sensi'!$A$2:$E$200,4,FALSE),0)</f>
        <v>0</v>
      </c>
      <c r="E119" s="280">
        <f ca="1">VLOOKUP(C119,Sensitivities!$J$28:$L$64,2,FALSE)</f>
        <v>0</v>
      </c>
      <c r="F119" s="280">
        <f t="shared" ca="1" si="18"/>
        <v>0</v>
      </c>
      <c r="G119" s="280">
        <f ca="1">IFERROR(VLOOKUP(B119&amp;"_"&amp;C119,'MX IRS Sensi'!$A$2:$E$200,5,FALSE),0)</f>
        <v>0</v>
      </c>
      <c r="H119" s="280">
        <f ca="1">VLOOKUP(C119,Sensitivities!$J$28:$L$64,3,FALSE)</f>
        <v>0</v>
      </c>
      <c r="I119" s="286">
        <f t="shared" ca="1" si="19"/>
        <v>0</v>
      </c>
      <c r="K119" s="142" t="str">
        <f t="shared" ca="1" si="16"/>
        <v>Pass</v>
      </c>
      <c r="L119" s="139"/>
      <c r="M119" s="142" t="str">
        <f t="shared" ca="1" si="17"/>
        <v>Pass</v>
      </c>
    </row>
    <row r="120" spans="2:13">
      <c r="B120" s="285" t="s">
        <v>386</v>
      </c>
      <c r="C120" s="275" t="str">
        <f ca="1">Sensitivities!B60</f>
        <v>10950D</v>
      </c>
      <c r="D120" s="280">
        <f ca="1">IFERROR(VLOOKUP(B120&amp;"_"&amp;C120,'MX IRS Sensi'!$A$2:$E$200,4,FALSE),0)</f>
        <v>0</v>
      </c>
      <c r="E120" s="280">
        <f ca="1">VLOOKUP(C120,Sensitivities!$J$28:$L$64,2,FALSE)</f>
        <v>0</v>
      </c>
      <c r="F120" s="280">
        <f t="shared" ca="1" si="18"/>
        <v>0</v>
      </c>
      <c r="G120" s="280">
        <f ca="1">IFERROR(VLOOKUP(B120&amp;"_"&amp;C120,'MX IRS Sensi'!$A$2:$E$200,5,FALSE),0)</f>
        <v>0</v>
      </c>
      <c r="H120" s="280">
        <f ca="1">VLOOKUP(C120,Sensitivities!$J$28:$L$64,3,FALSE)</f>
        <v>0</v>
      </c>
      <c r="I120" s="286">
        <f t="shared" ca="1" si="19"/>
        <v>0</v>
      </c>
      <c r="K120" s="142" t="str">
        <f t="shared" ca="1" si="16"/>
        <v>Pass</v>
      </c>
      <c r="L120" s="139"/>
      <c r="M120" s="142" t="str">
        <f t="shared" ca="1" si="17"/>
        <v>Pass</v>
      </c>
    </row>
    <row r="121" spans="2:13">
      <c r="B121" s="285" t="s">
        <v>386</v>
      </c>
      <c r="C121" s="275" t="str">
        <f ca="1">Sensitivities!B61</f>
        <v>12775D</v>
      </c>
      <c r="D121" s="280">
        <f ca="1">IFERROR(VLOOKUP(B121&amp;"_"&amp;C121,'MX IRS Sensi'!$A$2:$E$200,4,FALSE),0)</f>
        <v>0</v>
      </c>
      <c r="E121" s="280">
        <f ca="1">VLOOKUP(C121,Sensitivities!$J$28:$L$64,2,FALSE)</f>
        <v>0</v>
      </c>
      <c r="F121" s="280">
        <f t="shared" ca="1" si="18"/>
        <v>0</v>
      </c>
      <c r="G121" s="280">
        <f ca="1">IFERROR(VLOOKUP(B121&amp;"_"&amp;C121,'MX IRS Sensi'!$A$2:$E$200,5,FALSE),0)</f>
        <v>0</v>
      </c>
      <c r="H121" s="280">
        <f ca="1">VLOOKUP(C121,Sensitivities!$J$28:$L$64,3,FALSE)</f>
        <v>0</v>
      </c>
      <c r="I121" s="286">
        <f t="shared" ca="1" si="19"/>
        <v>0</v>
      </c>
      <c r="K121" s="142" t="str">
        <f t="shared" ca="1" si="16"/>
        <v>Pass</v>
      </c>
      <c r="L121" s="139"/>
      <c r="M121" s="142" t="str">
        <f t="shared" ca="1" si="17"/>
        <v>Pass</v>
      </c>
    </row>
    <row r="122" spans="2:13">
      <c r="B122" s="285" t="s">
        <v>386</v>
      </c>
      <c r="C122" s="275" t="str">
        <f ca="1">Sensitivities!B62</f>
        <v>14600D</v>
      </c>
      <c r="D122" s="280">
        <f ca="1">IFERROR(VLOOKUP(B122&amp;"_"&amp;C122,'MX IRS Sensi'!$A$2:$E$200,4,FALSE),0)</f>
        <v>0</v>
      </c>
      <c r="E122" s="280">
        <f ca="1">VLOOKUP(C122,Sensitivities!$J$28:$L$64,2,FALSE)</f>
        <v>0</v>
      </c>
      <c r="F122" s="280">
        <f t="shared" ca="1" si="18"/>
        <v>0</v>
      </c>
      <c r="G122" s="280">
        <f ca="1">IFERROR(VLOOKUP(B122&amp;"_"&amp;C122,'MX IRS Sensi'!$A$2:$E$200,5,FALSE),0)</f>
        <v>0</v>
      </c>
      <c r="H122" s="280">
        <f ca="1">VLOOKUP(C122,Sensitivities!$J$28:$L$64,3,FALSE)</f>
        <v>0</v>
      </c>
      <c r="I122" s="286">
        <f t="shared" ca="1" si="19"/>
        <v>0</v>
      </c>
      <c r="K122" s="142" t="str">
        <f t="shared" ca="1" si="16"/>
        <v>Pass</v>
      </c>
      <c r="L122" s="139"/>
      <c r="M122" s="142" t="str">
        <f t="shared" ca="1" si="17"/>
        <v>Pass</v>
      </c>
    </row>
    <row r="123" spans="2:13" ht="15.75" thickBot="1">
      <c r="B123" s="285" t="s">
        <v>386</v>
      </c>
      <c r="C123" s="275" t="str">
        <f ca="1">Sensitivities!B63</f>
        <v>16425D</v>
      </c>
      <c r="D123" s="280">
        <f ca="1">IFERROR(VLOOKUP(B123&amp;"_"&amp;C123,'MX IRS Sensi'!$A$2:$E$200,4,FALSE),0)</f>
        <v>0</v>
      </c>
      <c r="E123" s="280">
        <f ca="1">VLOOKUP(C123,Sensitivities!$J$28:$L$64,2,FALSE)</f>
        <v>0</v>
      </c>
      <c r="F123" s="280">
        <f t="shared" ca="1" si="18"/>
        <v>0</v>
      </c>
      <c r="G123" s="280">
        <f ca="1">IFERROR(VLOOKUP(B123&amp;"_"&amp;C123,'MX IRS Sensi'!$A$2:$E$200,5,FALSE),0)</f>
        <v>0</v>
      </c>
      <c r="H123" s="280">
        <f ca="1">VLOOKUP(C123,Sensitivities!$J$28:$L$64,3,FALSE)</f>
        <v>0</v>
      </c>
      <c r="I123" s="286">
        <f t="shared" ca="1" si="19"/>
        <v>0</v>
      </c>
      <c r="K123" s="144" t="str">
        <f t="shared" ca="1" si="16"/>
        <v>Pass</v>
      </c>
      <c r="L123" s="139"/>
      <c r="M123" s="144" t="str">
        <f t="shared" ca="1" si="17"/>
        <v>Pass</v>
      </c>
    </row>
    <row r="124" spans="2:13" ht="15.75" thickBot="1">
      <c r="B124" s="287" t="s">
        <v>386</v>
      </c>
      <c r="C124" s="269" t="str">
        <f ca="1">Sensitivities!B64</f>
        <v>18250D</v>
      </c>
      <c r="D124" s="298">
        <f ca="1">IFERROR(VLOOKUP(B124&amp;"_"&amp;C124,'MX IRS Sensi'!$A$2:$E$200,4,FALSE),0)</f>
        <v>0</v>
      </c>
      <c r="E124" s="298">
        <f ca="1">VLOOKUP(C124,Sensitivities!$J$28:$L$64,2,FALSE)</f>
        <v>0</v>
      </c>
      <c r="F124" s="298">
        <f t="shared" ref="F124" ca="1" si="20">E124-D124</f>
        <v>0</v>
      </c>
      <c r="G124" s="298">
        <f ca="1">IFERROR(VLOOKUP(B124&amp;"_"&amp;C124,'MX IRS Sensi'!$A$2:$E$200,5,FALSE),0)</f>
        <v>0</v>
      </c>
      <c r="H124" s="298">
        <f ca="1">VLOOKUP(C124,Sensitivities!$J$28:$L$64,3,FALSE)</f>
        <v>0</v>
      </c>
      <c r="I124" s="290">
        <f t="shared" ref="I124" ca="1" si="21">H124-G124</f>
        <v>0</v>
      </c>
      <c r="K124" s="283" t="str">
        <f t="shared" ref="K124" ca="1" si="22">IF(ABS(F124)&lt;$F$1,"Pass","Fail")</f>
        <v>Pass</v>
      </c>
      <c r="L124" s="277"/>
      <c r="M124" s="283" t="str">
        <f t="shared" ref="M124" ca="1" si="23">IF(ABS(I124)&lt;$F$1,"Pass","Fail")</f>
        <v>Pass</v>
      </c>
    </row>
  </sheetData>
  <mergeCells count="2">
    <mergeCell ref="C3:E3"/>
    <mergeCell ref="F3:H3"/>
  </mergeCells>
  <conditionalFormatting sqref="K49:K84 M49:M84 E5:E7 K10:K46 M10:M46 H5:H7 K88:K124 M88:M124">
    <cfRule type="cellIs" dxfId="1" priority="9" operator="equal">
      <formula>"Pass"</formula>
    </cfRule>
    <cfRule type="cellIs" dxfId="0" priority="10" operator="equal">
      <formula>"Fail"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AD81"/>
  <sheetViews>
    <sheetView topLeftCell="K10" workbookViewId="0">
      <selection activeCell="R22" sqref="R22"/>
    </sheetView>
  </sheetViews>
  <sheetFormatPr defaultRowHeight="15"/>
  <cols>
    <col min="1" max="3" width="10.7109375" bestFit="1" customWidth="1"/>
    <col min="6" max="6" width="10.7109375" bestFit="1" customWidth="1"/>
    <col min="8" max="9" width="10.7109375" bestFit="1" customWidth="1"/>
    <col min="12" max="12" width="16.5703125" bestFit="1" customWidth="1"/>
    <col min="13" max="13" width="15" customWidth="1"/>
    <col min="14" max="14" width="13.42578125" customWidth="1"/>
    <col min="15" max="15" width="10.5703125" bestFit="1" customWidth="1"/>
    <col min="16" max="16" width="15.28515625" bestFit="1" customWidth="1"/>
    <col min="17" max="17" width="13.28515625" customWidth="1"/>
    <col min="18" max="18" width="11.140625" bestFit="1" customWidth="1"/>
    <col min="19" max="19" width="13.85546875" bestFit="1" customWidth="1"/>
    <col min="20" max="21" width="13.7109375" customWidth="1"/>
    <col min="22" max="22" width="14.140625" bestFit="1" customWidth="1"/>
    <col min="23" max="23" width="16.140625" bestFit="1" customWidth="1"/>
    <col min="24" max="24" width="10" bestFit="1" customWidth="1"/>
    <col min="26" max="26" width="10.5703125" bestFit="1" customWidth="1"/>
    <col min="27" max="27" width="11" bestFit="1" customWidth="1"/>
  </cols>
  <sheetData>
    <row r="1" spans="1:26" ht="15.75" thickBot="1"/>
    <row r="2" spans="1:26" ht="15.75" thickBot="1">
      <c r="L2" s="6" t="s">
        <v>4</v>
      </c>
      <c r="M2" s="7">
        <f ca="1">Pricing!B2</f>
        <v>41421</v>
      </c>
    </row>
    <row r="3" spans="1:26" ht="15.75" thickBot="1">
      <c r="Z3" s="37"/>
    </row>
    <row r="4" spans="1:26" ht="15.75" thickBot="1">
      <c r="C4" s="318" t="s">
        <v>40</v>
      </c>
      <c r="D4" s="319"/>
      <c r="F4" s="318" t="s">
        <v>41</v>
      </c>
      <c r="G4" s="319"/>
      <c r="I4" s="318" t="s">
        <v>42</v>
      </c>
      <c r="J4" s="319"/>
      <c r="M4" s="23" t="s">
        <v>55</v>
      </c>
      <c r="N4" s="19"/>
      <c r="P4" s="23" t="s">
        <v>57</v>
      </c>
      <c r="Q4" s="19"/>
      <c r="S4" s="23" t="s">
        <v>56</v>
      </c>
      <c r="T4" s="19"/>
      <c r="V4" s="23" t="s">
        <v>58</v>
      </c>
      <c r="W4" s="19"/>
      <c r="Z4" s="37"/>
    </row>
    <row r="5" spans="1:26" ht="15.75" thickBot="1">
      <c r="C5" s="17" t="s">
        <v>38</v>
      </c>
      <c r="D5" s="18" t="s">
        <v>39</v>
      </c>
      <c r="F5" s="17" t="s">
        <v>38</v>
      </c>
      <c r="G5" s="18" t="s">
        <v>39</v>
      </c>
      <c r="I5" s="17" t="s">
        <v>38</v>
      </c>
      <c r="J5" s="18" t="s">
        <v>39</v>
      </c>
      <c r="M5" s="20" t="s">
        <v>43</v>
      </c>
      <c r="N5" s="44">
        <v>0.99380215000000005</v>
      </c>
      <c r="P5" s="20" t="s">
        <v>43</v>
      </c>
      <c r="Q5" s="44">
        <v>0.99087734999999999</v>
      </c>
      <c r="S5" s="20" t="s">
        <v>43</v>
      </c>
      <c r="T5" s="44">
        <v>0.99603083000000003</v>
      </c>
      <c r="V5" s="20" t="s">
        <v>43</v>
      </c>
      <c r="W5" s="44">
        <v>1.00288771</v>
      </c>
      <c r="Y5" s="58"/>
      <c r="Z5" s="37"/>
    </row>
    <row r="6" spans="1:26">
      <c r="A6" s="183"/>
      <c r="B6" s="106"/>
      <c r="C6" s="243">
        <v>41422</v>
      </c>
      <c r="D6" s="244">
        <v>4.2139756744250098E-3</v>
      </c>
      <c r="E6" s="242"/>
      <c r="F6" s="243">
        <v>41422</v>
      </c>
      <c r="G6" s="244">
        <v>8.3138794201189205E-4</v>
      </c>
      <c r="H6" s="242"/>
      <c r="I6" s="243">
        <v>41422</v>
      </c>
      <c r="J6" s="244">
        <v>8.1111020988319197E-4</v>
      </c>
      <c r="M6" s="21" t="s">
        <v>44</v>
      </c>
      <c r="N6" s="45">
        <v>1.0048656</v>
      </c>
      <c r="P6" s="21" t="s">
        <v>44</v>
      </c>
      <c r="Q6" s="45">
        <v>1.0024648700000001</v>
      </c>
      <c r="S6" s="21" t="s">
        <v>44</v>
      </c>
      <c r="T6" s="45">
        <v>1.00381706</v>
      </c>
      <c r="V6" s="21" t="s">
        <v>44</v>
      </c>
      <c r="W6" s="45">
        <v>1.00208374</v>
      </c>
      <c r="Y6" s="58"/>
      <c r="Z6" s="37"/>
    </row>
    <row r="7" spans="1:26">
      <c r="A7" s="183"/>
      <c r="B7" s="106"/>
      <c r="C7" s="245">
        <v>41428</v>
      </c>
      <c r="D7" s="246">
        <v>4.2858603307207596E-3</v>
      </c>
      <c r="E7" s="242"/>
      <c r="F7" s="245">
        <v>41428</v>
      </c>
      <c r="G7" s="246">
        <v>8.3138478586053692E-4</v>
      </c>
      <c r="H7" s="242"/>
      <c r="I7" s="245">
        <v>41428</v>
      </c>
      <c r="J7" s="246">
        <v>9.8008556586649202E-4</v>
      </c>
      <c r="M7" s="21" t="s">
        <v>45</v>
      </c>
      <c r="N7" s="45">
        <v>1.0012388699999999</v>
      </c>
      <c r="P7" s="21" t="s">
        <v>45</v>
      </c>
      <c r="Q7" s="45">
        <v>1.0079353600000001</v>
      </c>
      <c r="S7" s="21" t="s">
        <v>45</v>
      </c>
      <c r="T7" s="45">
        <v>1.00397102</v>
      </c>
      <c r="V7" s="21" t="s">
        <v>45</v>
      </c>
      <c r="W7" s="45">
        <v>1.0039403200000001</v>
      </c>
      <c r="Y7" s="58"/>
      <c r="Z7" s="37"/>
    </row>
    <row r="8" spans="1:26">
      <c r="A8" s="183"/>
      <c r="B8" s="106"/>
      <c r="C8" s="245">
        <v>41435</v>
      </c>
      <c r="D8" s="246">
        <v>4.2968918640177798E-3</v>
      </c>
      <c r="E8" s="242"/>
      <c r="F8" s="245">
        <v>41435</v>
      </c>
      <c r="G8" s="246">
        <v>8.0603255284203803E-4</v>
      </c>
      <c r="H8" s="242"/>
      <c r="I8" s="245">
        <v>41435</v>
      </c>
      <c r="J8" s="246">
        <v>1.06245363781812E-3</v>
      </c>
      <c r="M8" s="21" t="s">
        <v>46</v>
      </c>
      <c r="N8" s="45">
        <v>1.00337959</v>
      </c>
      <c r="P8" s="21" t="s">
        <v>46</v>
      </c>
      <c r="Q8" s="45">
        <v>1.00323863</v>
      </c>
      <c r="S8" s="21" t="s">
        <v>46</v>
      </c>
      <c r="T8" s="45">
        <v>1.0014063499999999</v>
      </c>
      <c r="V8" s="21" t="s">
        <v>46</v>
      </c>
      <c r="W8" s="45">
        <v>1.0018341399999999</v>
      </c>
      <c r="Y8" s="58"/>
      <c r="Z8" s="37"/>
    </row>
    <row r="9" spans="1:26">
      <c r="A9" s="183"/>
      <c r="B9" s="106"/>
      <c r="C9" s="245">
        <v>41442</v>
      </c>
      <c r="D9" s="246">
        <v>4.2802634785450598E-3</v>
      </c>
      <c r="E9" s="242"/>
      <c r="F9" s="245">
        <v>41442</v>
      </c>
      <c r="G9" s="246">
        <v>7.8817388037041207E-4</v>
      </c>
      <c r="H9" s="242"/>
      <c r="I9" s="245">
        <v>41442</v>
      </c>
      <c r="J9" s="246">
        <v>1.0829583420951599E-3</v>
      </c>
      <c r="M9" s="21" t="s">
        <v>47</v>
      </c>
      <c r="N9" s="45">
        <v>1.0013371600000001</v>
      </c>
      <c r="P9" s="21" t="s">
        <v>47</v>
      </c>
      <c r="Q9" s="45">
        <v>0.99911411999999999</v>
      </c>
      <c r="S9" s="21" t="s">
        <v>47</v>
      </c>
      <c r="T9" s="45">
        <v>0.99985376000000004</v>
      </c>
      <c r="V9" s="21" t="s">
        <v>47</v>
      </c>
      <c r="W9" s="45">
        <v>1.0008610099999999</v>
      </c>
      <c r="Y9" s="58"/>
      <c r="Z9" s="37"/>
    </row>
    <row r="10" spans="1:26">
      <c r="A10" s="183"/>
      <c r="B10" s="106"/>
      <c r="C10" s="245">
        <v>41451</v>
      </c>
      <c r="D10" s="246">
        <v>4.2555582110240494E-3</v>
      </c>
      <c r="E10" s="242"/>
      <c r="F10" s="245">
        <v>41451</v>
      </c>
      <c r="G10" s="246">
        <v>7.8411647598949192E-4</v>
      </c>
      <c r="H10" s="242"/>
      <c r="I10" s="245">
        <v>41451</v>
      </c>
      <c r="J10" s="246">
        <v>1.0797851532423899E-3</v>
      </c>
      <c r="M10" s="21" t="s">
        <v>48</v>
      </c>
      <c r="N10" s="45">
        <v>0.99841884000000003</v>
      </c>
      <c r="P10" s="21" t="s">
        <v>48</v>
      </c>
      <c r="Q10" s="45">
        <v>0.99900429000000002</v>
      </c>
      <c r="S10" s="21" t="s">
        <v>48</v>
      </c>
      <c r="T10" s="45">
        <v>0.99925567000000004</v>
      </c>
      <c r="V10" s="21" t="s">
        <v>48</v>
      </c>
      <c r="W10" s="45">
        <v>1.0000564199999999</v>
      </c>
      <c r="Y10" s="58"/>
      <c r="Z10" s="50"/>
    </row>
    <row r="11" spans="1:26">
      <c r="A11" s="183"/>
      <c r="B11" s="106"/>
      <c r="C11" s="245">
        <v>41481</v>
      </c>
      <c r="D11" s="246">
        <v>4.1903907353588801E-3</v>
      </c>
      <c r="E11" s="242"/>
      <c r="F11" s="245">
        <v>41481</v>
      </c>
      <c r="G11" s="246">
        <v>7.3216936793647389E-4</v>
      </c>
      <c r="H11" s="242"/>
      <c r="I11" s="245">
        <v>41481</v>
      </c>
      <c r="J11" s="246">
        <v>1.0939159879086401E-3</v>
      </c>
      <c r="M11" s="21" t="s">
        <v>49</v>
      </c>
      <c r="N11" s="45">
        <v>0.99504819</v>
      </c>
      <c r="P11" s="21" t="s">
        <v>49</v>
      </c>
      <c r="Q11" s="45">
        <v>0.99272212999999998</v>
      </c>
      <c r="S11" s="21" t="s">
        <v>49</v>
      </c>
      <c r="T11" s="45">
        <v>0.99458301000000005</v>
      </c>
      <c r="V11" s="21" t="s">
        <v>49</v>
      </c>
      <c r="W11" s="45">
        <v>0.99755070000000001</v>
      </c>
      <c r="Y11" s="58"/>
      <c r="Z11" s="50"/>
    </row>
    <row r="12" spans="1:26">
      <c r="A12" s="183"/>
      <c r="B12" s="106"/>
      <c r="C12" s="245">
        <v>41512</v>
      </c>
      <c r="D12" s="246">
        <v>4.0844973143208405E-3</v>
      </c>
      <c r="E12" s="242"/>
      <c r="F12" s="245">
        <v>41512</v>
      </c>
      <c r="G12" s="246">
        <v>6.9840661513053803E-4</v>
      </c>
      <c r="H12" s="242"/>
      <c r="I12" s="245">
        <v>41512</v>
      </c>
      <c r="J12" s="246">
        <v>1.11636013886658E-3</v>
      </c>
      <c r="M12" s="21" t="s">
        <v>50</v>
      </c>
      <c r="N12" s="45">
        <v>1.0011675</v>
      </c>
      <c r="P12" s="21" t="s">
        <v>50</v>
      </c>
      <c r="Q12" s="45">
        <v>1.00071116</v>
      </c>
      <c r="S12" s="21" t="s">
        <v>50</v>
      </c>
      <c r="T12" s="45">
        <v>1.00274792</v>
      </c>
      <c r="V12" s="21" t="s">
        <v>50</v>
      </c>
      <c r="W12" s="45">
        <v>0.99976498000000003</v>
      </c>
      <c r="Y12" s="58"/>
      <c r="Z12" s="50"/>
    </row>
    <row r="13" spans="1:26">
      <c r="A13" s="183"/>
      <c r="B13" s="106"/>
      <c r="C13" s="245">
        <v>41542</v>
      </c>
      <c r="D13" s="246">
        <v>4.0171671277197604E-3</v>
      </c>
      <c r="E13" s="242"/>
      <c r="F13" s="245">
        <v>41542</v>
      </c>
      <c r="G13" s="246">
        <v>6.71163824676498E-4</v>
      </c>
      <c r="H13" s="242"/>
      <c r="I13" s="245">
        <v>41542</v>
      </c>
      <c r="J13" s="246">
        <v>1.1367906029782799E-3</v>
      </c>
      <c r="M13" s="21" t="s">
        <v>51</v>
      </c>
      <c r="N13" s="45">
        <v>1.0013268399999999</v>
      </c>
      <c r="P13" s="21" t="s">
        <v>51</v>
      </c>
      <c r="Q13" s="45">
        <v>1.0014923600000001</v>
      </c>
      <c r="S13" s="21" t="s">
        <v>51</v>
      </c>
      <c r="T13" s="45">
        <v>0.99707902000000004</v>
      </c>
      <c r="V13" s="21" t="s">
        <v>51</v>
      </c>
      <c r="W13" s="45">
        <v>0.99854206999999995</v>
      </c>
      <c r="Y13" s="58"/>
      <c r="Z13" s="50"/>
    </row>
    <row r="14" spans="1:26">
      <c r="A14" s="183"/>
      <c r="B14" s="106"/>
      <c r="C14" s="245">
        <v>41573</v>
      </c>
      <c r="D14" s="246">
        <v>3.9562917645974503E-3</v>
      </c>
      <c r="E14" s="242"/>
      <c r="F14" s="245">
        <v>41573</v>
      </c>
      <c r="G14" s="246">
        <v>6.3571872253633508E-4</v>
      </c>
      <c r="H14" s="242"/>
      <c r="I14" s="245">
        <v>41573</v>
      </c>
      <c r="J14" s="246">
        <v>1.1589451592148102E-3</v>
      </c>
      <c r="M14" s="21" t="s">
        <v>52</v>
      </c>
      <c r="N14" s="45">
        <v>0.99817213000000005</v>
      </c>
      <c r="P14" s="21" t="s">
        <v>52</v>
      </c>
      <c r="Q14" s="45">
        <v>1.0011908199999999</v>
      </c>
      <c r="S14" s="21" t="s">
        <v>52</v>
      </c>
      <c r="T14" s="45">
        <v>0.99977746000000001</v>
      </c>
      <c r="V14" s="21" t="s">
        <v>52</v>
      </c>
      <c r="W14" s="45">
        <v>0.99773179000000001</v>
      </c>
      <c r="Y14" s="58"/>
      <c r="Z14" s="50"/>
    </row>
    <row r="15" spans="1:26">
      <c r="A15" s="183"/>
      <c r="B15" s="106"/>
      <c r="C15" s="245">
        <v>41603</v>
      </c>
      <c r="D15" s="246">
        <v>3.8977883900722598E-3</v>
      </c>
      <c r="E15" s="242"/>
      <c r="F15" s="245">
        <v>41603</v>
      </c>
      <c r="G15" s="246">
        <v>6.0468155896178802E-4</v>
      </c>
      <c r="H15" s="242"/>
      <c r="I15" s="245">
        <v>41603</v>
      </c>
      <c r="J15" s="246">
        <v>1.17918765697197E-3</v>
      </c>
      <c r="M15" s="21" t="s">
        <v>53</v>
      </c>
      <c r="N15" s="45">
        <v>0.99930998999999998</v>
      </c>
      <c r="P15" s="21" t="s">
        <v>53</v>
      </c>
      <c r="Q15" s="45">
        <v>0.99913072000000003</v>
      </c>
      <c r="S15" s="21" t="s">
        <v>53</v>
      </c>
      <c r="T15" s="45">
        <v>0.99950348</v>
      </c>
      <c r="V15" s="21" t="s">
        <v>53</v>
      </c>
      <c r="W15" s="45">
        <v>0.99782630000000005</v>
      </c>
      <c r="Y15" s="58"/>
      <c r="Z15" s="50"/>
    </row>
    <row r="16" spans="1:26" ht="15.75" thickBot="1">
      <c r="A16" s="183"/>
      <c r="B16" s="106"/>
      <c r="C16" s="245">
        <v>41633</v>
      </c>
      <c r="D16" s="246">
        <v>3.8480047310029196E-3</v>
      </c>
      <c r="E16" s="242"/>
      <c r="F16" s="245">
        <v>41633</v>
      </c>
      <c r="G16" s="246">
        <v>5.9019279682149097E-4</v>
      </c>
      <c r="H16" s="242"/>
      <c r="I16" s="245">
        <v>41633</v>
      </c>
      <c r="J16" s="246">
        <v>1.1991372943775699E-3</v>
      </c>
      <c r="M16" s="22" t="s">
        <v>54</v>
      </c>
      <c r="N16" s="46">
        <v>1.00199058</v>
      </c>
      <c r="P16" s="22" t="s">
        <v>54</v>
      </c>
      <c r="Q16" s="46">
        <v>1.00223207</v>
      </c>
      <c r="S16" s="22" t="s">
        <v>54</v>
      </c>
      <c r="T16" s="46">
        <v>1.0020237000000001</v>
      </c>
      <c r="V16" s="22" t="s">
        <v>54</v>
      </c>
      <c r="W16" s="46">
        <v>0.99695065000000005</v>
      </c>
      <c r="Y16" s="58"/>
      <c r="Z16" s="50"/>
    </row>
    <row r="17" spans="1:30" ht="15.75" thickBot="1">
      <c r="A17" s="183"/>
      <c r="B17" s="106"/>
      <c r="C17" s="245">
        <v>41664</v>
      </c>
      <c r="D17" s="246">
        <v>3.7955241100202501E-3</v>
      </c>
      <c r="E17" s="242"/>
      <c r="F17" s="245">
        <v>41664</v>
      </c>
      <c r="G17" s="246">
        <v>5.8793870508143603E-4</v>
      </c>
      <c r="H17" s="242"/>
      <c r="I17" s="245">
        <v>41664</v>
      </c>
      <c r="J17" s="246">
        <v>1.2114994271496E-3</v>
      </c>
      <c r="L17" s="6" t="s">
        <v>5</v>
      </c>
      <c r="M17" s="26">
        <f ca="1">AddTenorToDateAsBD($M$2,"0D",GBPHols)</f>
        <v>41422</v>
      </c>
      <c r="P17" s="26">
        <f ca="1">AddTenorToDateAsBD($M$2,"2D",EURHols)</f>
        <v>41423</v>
      </c>
      <c r="S17" s="26">
        <f ca="1">AddTenorToDateAsBD($M$2,"2D",EURHols)</f>
        <v>41423</v>
      </c>
      <c r="V17" s="26">
        <f ca="1">AddTenorToDateAsBD($M$2,"2D",USDHols)</f>
        <v>41423</v>
      </c>
      <c r="W17" s="31"/>
      <c r="Y17" s="58"/>
      <c r="Z17" s="50"/>
    </row>
    <row r="18" spans="1:30" ht="15.75" thickBot="1">
      <c r="A18" s="183"/>
      <c r="B18" s="106"/>
      <c r="C18" s="245">
        <v>41694</v>
      </c>
      <c r="D18" s="246">
        <v>3.7550961843253101E-3</v>
      </c>
      <c r="E18" s="242"/>
      <c r="F18" s="245">
        <v>41694</v>
      </c>
      <c r="G18" s="246">
        <v>5.8770149921305202E-4</v>
      </c>
      <c r="H18" s="242"/>
      <c r="I18" s="245">
        <v>41694</v>
      </c>
      <c r="J18" s="246">
        <v>1.2392923786010599E-3</v>
      </c>
      <c r="L18" s="6" t="s">
        <v>82</v>
      </c>
      <c r="M18" s="12">
        <f ca="1">DATE(YEAR($M$2),MONTH($M$2)-2,1)</f>
        <v>41334</v>
      </c>
      <c r="P18" s="26">
        <f ca="1">DATE(YEAR($M$2),MONTH($M$2)-3,1)</f>
        <v>41306</v>
      </c>
      <c r="S18" s="26">
        <f ca="1">DATE(YEAR(AddTenorToDate($S$17,-3,"m")),MONTH(AddTenorToDate($S$17,-3,"m"))+1,1)</f>
        <v>41334</v>
      </c>
      <c r="V18" s="59">
        <f ca="1">DATE(YEAR(AddTenorToDate($V$17,-3,"m")),MONTH(AddTenorToDate($V$17,-3,"m"))+1,1)</f>
        <v>41334</v>
      </c>
      <c r="Y18" s="58"/>
      <c r="Z18" s="50"/>
    </row>
    <row r="19" spans="1:30" ht="15.75" thickBot="1">
      <c r="A19" s="183"/>
      <c r="B19" s="106"/>
      <c r="C19" s="245">
        <v>41725</v>
      </c>
      <c r="D19" s="246">
        <v>3.7285987709986201E-3</v>
      </c>
      <c r="E19" s="242"/>
      <c r="F19" s="245">
        <v>41725</v>
      </c>
      <c r="G19" s="246">
        <v>5.9188742546549403E-4</v>
      </c>
      <c r="H19" s="242"/>
      <c r="I19" s="245">
        <v>41725</v>
      </c>
      <c r="J19" s="246">
        <v>1.2611008717862502E-3</v>
      </c>
      <c r="L19" s="6" t="s">
        <v>6</v>
      </c>
      <c r="M19" s="26">
        <f ca="1">GetCPIDate(M17,2,"Piecewise")</f>
        <v>41334</v>
      </c>
      <c r="N19" s="24"/>
      <c r="O19" s="24"/>
      <c r="P19" s="26">
        <f ca="1">GetCPIDate(P17,3,"Piecewise")</f>
        <v>41306</v>
      </c>
      <c r="Q19" s="24"/>
      <c r="R19" s="24"/>
      <c r="S19" s="26">
        <f ca="1">GetCPIDate(S17,3,"Linear")</f>
        <v>41333</v>
      </c>
      <c r="T19" s="24"/>
      <c r="U19" s="24"/>
      <c r="V19" s="26">
        <f ca="1">GetCPIDate(V17,3,"Linear")</f>
        <v>41333</v>
      </c>
      <c r="Y19" s="58"/>
      <c r="Z19" s="50"/>
    </row>
    <row r="20" spans="1:30" ht="15.75" thickBot="1">
      <c r="A20" s="183"/>
      <c r="B20" s="106"/>
      <c r="C20" s="245">
        <v>41755</v>
      </c>
      <c r="D20" s="246">
        <v>3.7048152260359003E-3</v>
      </c>
      <c r="E20" s="242"/>
      <c r="F20" s="245">
        <v>41755</v>
      </c>
      <c r="G20" s="246">
        <v>6.04119753434929E-4</v>
      </c>
      <c r="H20" s="242"/>
      <c r="I20" s="245">
        <v>41755</v>
      </c>
      <c r="J20" s="246">
        <v>1.2819524741844702E-3</v>
      </c>
      <c r="L20" s="6" t="s">
        <v>81</v>
      </c>
      <c r="M20">
        <f ca="1">GetReferenceCPI(M17,2,"Piecewise",GB_Fixings,FALSE)</f>
        <v>248.7</v>
      </c>
      <c r="P20" s="25">
        <f ca="1">GetReferenceCPI(P17,3,"Piecewise",EUR_Fixings,FALSE)</f>
        <v>115.55</v>
      </c>
      <c r="S20" s="24">
        <f ca="1">GetReferenceCPI(S17,3,"Linear",FR_Fixings,FALSE)</f>
        <v>125.32903225806452</v>
      </c>
      <c r="V20" s="24">
        <f ca="1">GetReferenceCPI(V17,3,"Linear",US_Fixings,FALSE)</f>
        <v>232.71425806451612</v>
      </c>
      <c r="W20" s="58"/>
      <c r="X20" s="60"/>
      <c r="Z20" s="50"/>
    </row>
    <row r="21" spans="1:30" ht="15.75" thickBot="1">
      <c r="A21" s="183"/>
      <c r="B21" s="106"/>
      <c r="C21" s="245">
        <v>41786</v>
      </c>
      <c r="D21" s="246">
        <v>3.7030465910148002E-3</v>
      </c>
      <c r="E21" s="242"/>
      <c r="F21" s="245">
        <v>41786</v>
      </c>
      <c r="G21" s="246">
        <v>6.2791570194834303E-4</v>
      </c>
      <c r="H21" s="242"/>
      <c r="I21" s="245">
        <v>41786</v>
      </c>
      <c r="J21" s="246">
        <v>1.3124047874387701E-3</v>
      </c>
      <c r="L21" s="6" t="s">
        <v>84</v>
      </c>
      <c r="M21" s="26">
        <v>41365</v>
      </c>
      <c r="P21" s="59">
        <v>41365</v>
      </c>
      <c r="S21" s="59">
        <v>41365</v>
      </c>
      <c r="V21" s="59">
        <v>41365</v>
      </c>
      <c r="Z21" s="50"/>
    </row>
    <row r="22" spans="1:30" ht="15.75" thickBot="1">
      <c r="A22" s="183"/>
      <c r="B22" s="106"/>
      <c r="C22" s="245">
        <v>41877</v>
      </c>
      <c r="D22" s="246">
        <v>3.6818072042668799E-3</v>
      </c>
      <c r="E22" s="242"/>
      <c r="F22" s="245">
        <v>41877</v>
      </c>
      <c r="G22" s="246">
        <v>7.2303033349067599E-4</v>
      </c>
      <c r="H22" s="242"/>
      <c r="I22" s="245">
        <v>41877</v>
      </c>
      <c r="J22" s="246">
        <v>1.4278576636522001E-3</v>
      </c>
      <c r="L22" s="6" t="s">
        <v>83</v>
      </c>
      <c r="M22" s="30">
        <f ca="1">VLOOKUP(M21,GB_Fixings,2,0)</f>
        <v>249.5</v>
      </c>
      <c r="P22" s="29">
        <f ca="1">VLOOKUP(P21,EUR_Fixings,2,0)</f>
        <v>116.82</v>
      </c>
      <c r="S22" s="29">
        <f ca="1">VLOOKUP(S21,FR_Fixings,2,0)</f>
        <v>125.29</v>
      </c>
      <c r="V22" s="28">
        <f ca="1">VLOOKUP(V21,US_Fixings,2,0)</f>
        <v>232.53100000000001</v>
      </c>
      <c r="Z22" s="50"/>
    </row>
    <row r="23" spans="1:30" ht="15.75" thickBot="1">
      <c r="A23" s="183"/>
      <c r="B23" s="106"/>
      <c r="C23" s="245">
        <v>41968</v>
      </c>
      <c r="D23" s="246">
        <v>3.70575666564475E-3</v>
      </c>
      <c r="E23" s="242"/>
      <c r="F23" s="245">
        <v>41968</v>
      </c>
      <c r="G23" s="246">
        <v>8.7063645514706396E-4</v>
      </c>
      <c r="H23" s="242"/>
      <c r="I23" s="245">
        <v>41968</v>
      </c>
      <c r="J23" s="246">
        <v>1.5438345013246099E-3</v>
      </c>
      <c r="N23" s="109" t="s">
        <v>120</v>
      </c>
      <c r="O23" s="109" t="s">
        <v>120</v>
      </c>
      <c r="Q23" s="109" t="s">
        <v>120</v>
      </c>
      <c r="R23" s="109" t="s">
        <v>120</v>
      </c>
      <c r="T23" s="109" t="s">
        <v>120</v>
      </c>
      <c r="U23" s="109" t="s">
        <v>120</v>
      </c>
      <c r="W23" s="109" t="s">
        <v>120</v>
      </c>
      <c r="X23" s="109" t="s">
        <v>120</v>
      </c>
      <c r="Z23" s="50"/>
    </row>
    <row r="24" spans="1:30" ht="15.75" thickBot="1">
      <c r="A24" s="183"/>
      <c r="B24" s="106"/>
      <c r="C24" s="245">
        <v>42059</v>
      </c>
      <c r="D24" s="246">
        <v>3.7759718681000297E-3</v>
      </c>
      <c r="E24" s="242"/>
      <c r="F24" s="245">
        <v>42059</v>
      </c>
      <c r="G24" s="246">
        <v>1.03411723864208E-3</v>
      </c>
      <c r="H24" s="242"/>
      <c r="I24" s="245">
        <v>42059</v>
      </c>
      <c r="J24" s="246">
        <v>1.7433529557689001E-3</v>
      </c>
      <c r="L24" s="47" t="s">
        <v>59</v>
      </c>
      <c r="M24" s="47" t="s">
        <v>79</v>
      </c>
      <c r="N24" s="47" t="s">
        <v>86</v>
      </c>
      <c r="O24" s="47" t="s">
        <v>18</v>
      </c>
      <c r="P24" s="47" t="s">
        <v>80</v>
      </c>
      <c r="Q24" s="47" t="s">
        <v>85</v>
      </c>
      <c r="R24" s="47" t="s">
        <v>21</v>
      </c>
      <c r="S24" s="47" t="s">
        <v>87</v>
      </c>
      <c r="T24" s="47" t="s">
        <v>88</v>
      </c>
      <c r="U24" s="47" t="s">
        <v>19</v>
      </c>
      <c r="V24" s="47" t="s">
        <v>89</v>
      </c>
      <c r="W24" s="47" t="s">
        <v>90</v>
      </c>
      <c r="X24" s="47" t="s">
        <v>20</v>
      </c>
      <c r="Z24" s="50"/>
    </row>
    <row r="25" spans="1:30">
      <c r="A25" s="183"/>
      <c r="B25" s="106"/>
      <c r="C25" s="245">
        <v>42151</v>
      </c>
      <c r="D25" s="246">
        <v>3.9018067280420497E-3</v>
      </c>
      <c r="E25" s="242"/>
      <c r="F25" s="245">
        <v>42151</v>
      </c>
      <c r="G25" s="246">
        <v>1.2785951178380501E-3</v>
      </c>
      <c r="H25" s="242"/>
      <c r="I25" s="245">
        <v>42151</v>
      </c>
      <c r="J25" s="246">
        <v>1.94794322717375E-3</v>
      </c>
      <c r="L25" s="35" t="s">
        <v>91</v>
      </c>
      <c r="M25" s="42">
        <f ca="1">AddTenorToDate($M$18,GetNumsForString($L25),GetCharsForString($L25))</f>
        <v>41699</v>
      </c>
      <c r="N25" s="48">
        <v>2.89</v>
      </c>
      <c r="O25" s="33">
        <f t="shared" ref="O25:O41" ca="1" si="0">$M$20*(1+N25%)^TimeToMaturity(M25,$M$19,"30 / 360")</f>
        <v>255.88742999999997</v>
      </c>
      <c r="P25" s="42">
        <f ca="1">AddTenorToDate($P$18,GetNumsForString($L25),GetCharsForString($L25))</f>
        <v>41671</v>
      </c>
      <c r="Q25" s="48">
        <v>1.2</v>
      </c>
      <c r="R25" s="33">
        <f t="shared" ref="R25:R39" ca="1" si="1">$P$20*(1+Q25%)^TimeToMaturity(P25,$P$19,"30 / 360")</f>
        <v>116.9366</v>
      </c>
      <c r="S25" s="42">
        <f ca="1">AddTenorToDate($S$18,GetNumsForString($L25),GetCharsForString($L25))</f>
        <v>41699</v>
      </c>
      <c r="T25" s="38">
        <v>1.379</v>
      </c>
      <c r="U25" s="33">
        <f ca="1">IF(S25=$S$21,S22,StripCPI_S($M$2,$S$17,3,$L25,$S$21,$S$22,T25,$S$20,INDEX($T$5:$T$16,MONTH(FR_LastDate)),$T$5:$T$16))</f>
        <v>127.0721267030117</v>
      </c>
      <c r="V25" s="42">
        <f ca="1">AddTenorToDate($V$18,GetNumsForString($L25),GetCharsForString($L25))</f>
        <v>41699</v>
      </c>
      <c r="W25" s="48">
        <v>1.6720000000000002</v>
      </c>
      <c r="X25" s="32">
        <f ca="1">IF(V25=$V$21,V22,StripCPI_S($M$2,$V$17,3,$L25,$V$21,$V$22,W25,$V$20,INDEX($W$5:$W$16,MONTH(US_LastDate)),$W$5:$W$16))</f>
        <v>236.67996663756489</v>
      </c>
      <c r="Y25" s="58"/>
      <c r="Z25" s="106"/>
      <c r="AA25" s="58"/>
      <c r="AB25" s="60"/>
    </row>
    <row r="26" spans="1:30">
      <c r="A26" s="183"/>
      <c r="B26" s="106"/>
      <c r="C26" s="245">
        <v>42516</v>
      </c>
      <c r="D26" s="246">
        <v>4.6949507492102796E-3</v>
      </c>
      <c r="E26" s="242"/>
      <c r="F26" s="245">
        <v>42516</v>
      </c>
      <c r="G26" s="246">
        <v>2.5583696440249896E-3</v>
      </c>
      <c r="H26" s="242"/>
      <c r="I26" s="245">
        <v>42516</v>
      </c>
      <c r="J26" s="246">
        <v>3.4355965460606303E-3</v>
      </c>
      <c r="L26" s="35" t="s">
        <v>35</v>
      </c>
      <c r="M26" s="42">
        <f ca="1">AddTenorToDate($M$18,GetNumsForString($L26),GetCharsForString($L26))</f>
        <v>42064</v>
      </c>
      <c r="N26" s="48">
        <v>2.75</v>
      </c>
      <c r="O26" s="33">
        <f t="shared" ca="1" si="0"/>
        <v>262.566579375</v>
      </c>
      <c r="P26" s="42">
        <f ca="1">AddTenorToDate($P$18,GetNumsForString($L26),GetCharsForString($L26))</f>
        <v>42036</v>
      </c>
      <c r="Q26" s="48">
        <v>1.3049999999999999</v>
      </c>
      <c r="R26" s="33">
        <f t="shared" ca="1" si="1"/>
        <v>118.58553345387499</v>
      </c>
      <c r="S26" s="42">
        <f ca="1">AddTenorToDate($S$18,GetNumsForString($L26),GetCharsForString($L26))</f>
        <v>42064</v>
      </c>
      <c r="T26" s="38">
        <v>1.4590000000000001</v>
      </c>
      <c r="U26" s="33">
        <f ca="1">StripCPI_S($M$2,$S$17,3,$L26,S25,U25,T26,$S$20,INDEX($T$5:$T$16,MONTH(S25)),$T$5:$T$16)</f>
        <v>129.02935736515607</v>
      </c>
      <c r="V26" s="42">
        <f ca="1">AddTenorToDate($V$18,GetNumsForString($L26),GetCharsForString($L26))</f>
        <v>42064</v>
      </c>
      <c r="W26" s="48">
        <v>1.976</v>
      </c>
      <c r="X26" s="32">
        <f ca="1">StripCPI_S($M$2,$V$17,3,$L26,V25,X25,W26,$V$20,INDEX($W$5:$W$16,MONTH(V25)),$W$5:$W$16)</f>
        <v>242.08579155246937</v>
      </c>
      <c r="Y26" s="58"/>
      <c r="Z26" s="50"/>
      <c r="AA26" s="61"/>
      <c r="AB26" s="50"/>
      <c r="AC26" s="60"/>
      <c r="AD26" s="62"/>
    </row>
    <row r="27" spans="1:30">
      <c r="A27" s="183"/>
      <c r="B27" s="106"/>
      <c r="C27" s="245">
        <v>42881</v>
      </c>
      <c r="D27" s="246">
        <v>6.0290191857548603E-3</v>
      </c>
      <c r="E27" s="242"/>
      <c r="F27" s="245">
        <v>42881</v>
      </c>
      <c r="G27" s="246">
        <v>4.2730882758228996E-3</v>
      </c>
      <c r="H27" s="242"/>
      <c r="I27" s="245">
        <v>42881</v>
      </c>
      <c r="J27" s="246">
        <v>5.6604558272381903E-3</v>
      </c>
      <c r="L27" s="35" t="s">
        <v>36</v>
      </c>
      <c r="M27" s="42">
        <f ca="1">AddTenorToDate($M$18,GetNumsForString($L27),GetCharsForString($L27))</f>
        <v>42430</v>
      </c>
      <c r="N27" s="48">
        <v>2.6880000000000002</v>
      </c>
      <c r="O27" s="33">
        <f t="shared" ca="1" si="0"/>
        <v>269.2990810987659</v>
      </c>
      <c r="P27" s="42">
        <f ca="1">AddTenorToDate($P$18,GetNumsForString($L27),GetCharsForString($L27))</f>
        <v>42401</v>
      </c>
      <c r="Q27" s="48">
        <v>1.3140000000000001</v>
      </c>
      <c r="R27" s="33">
        <f t="shared" ca="1" si="1"/>
        <v>120.16509560407246</v>
      </c>
      <c r="S27" s="42">
        <f ca="1">AddTenorToDate($S$18,GetNumsForString($L27),GetCharsForString($L27))</f>
        <v>42430</v>
      </c>
      <c r="T27" s="38">
        <v>1.5189999999999999</v>
      </c>
      <c r="U27" s="33">
        <f ca="1">StripCPI_S($M$2,$S$17,3,$L27,S26,U26,T27,$S$20,INDEX($T$5:$T$16,MONTH(S26)),$T$5:$T$16)</f>
        <v>131.14576328989483</v>
      </c>
      <c r="V27" s="42">
        <f ca="1">AddTenorToDate($V$18,GetNumsForString($L27),GetCharsForString($L27))</f>
        <v>42430</v>
      </c>
      <c r="W27" s="48">
        <v>2.1930000000000001</v>
      </c>
      <c r="X27" s="32">
        <f ca="1">StripCPI_S($M$2,$V$17,3,$L27,V26,X26,W27,$V$20,INDEX($W$5:$W$16,MONTH(V26)),$W$5:$W$16)</f>
        <v>248.45654767117222</v>
      </c>
      <c r="Y27" s="58"/>
      <c r="Z27" s="50"/>
      <c r="AA27" s="61"/>
      <c r="AB27" s="50"/>
      <c r="AC27" s="60"/>
      <c r="AD27" s="62"/>
    </row>
    <row r="28" spans="1:30">
      <c r="A28" s="183"/>
      <c r="B28" s="106"/>
      <c r="C28" s="245">
        <v>43246</v>
      </c>
      <c r="D28" s="246">
        <v>7.7631195602063394E-3</v>
      </c>
      <c r="E28" s="242"/>
      <c r="F28" s="245">
        <v>43246</v>
      </c>
      <c r="G28" s="246">
        <v>6.1630163716893905E-3</v>
      </c>
      <c r="H28" s="242"/>
      <c r="I28" s="245">
        <v>43246</v>
      </c>
      <c r="J28" s="246">
        <v>8.30575734158958E-3</v>
      </c>
      <c r="L28" s="35" t="s">
        <v>65</v>
      </c>
      <c r="M28" s="42">
        <f ca="1">AddTenorToDate($M$18,GetNumsForString($L28),GetCharsForString($L28))</f>
        <v>42795</v>
      </c>
      <c r="N28" s="48">
        <v>2.6459999999999999</v>
      </c>
      <c r="O28" s="33">
        <f t="shared" ca="1" si="0"/>
        <v>276.08569543197359</v>
      </c>
      <c r="P28" s="42">
        <f ca="1">AddTenorToDate($P$18,GetNumsForString($L28),GetCharsForString($L28))</f>
        <v>42767</v>
      </c>
      <c r="Q28" s="48">
        <v>1.4430000000000001</v>
      </c>
      <c r="R28" s="33">
        <f t="shared" ca="1" si="1"/>
        <v>122.36530209869058</v>
      </c>
      <c r="S28" s="42">
        <f ca="1">AddTenorToDate($S$18,GetNumsForString($L28),GetCharsForString($L28))</f>
        <v>42795</v>
      </c>
      <c r="T28" s="38">
        <v>1.619</v>
      </c>
      <c r="U28" s="33">
        <f ca="1">StripCPI_S($M$2,$S$17,3,$L28,S27,U27,T28,$S$20,INDEX($T$5:$T$16,MONTH(S27)),$T$5:$T$16)</f>
        <v>133.66543193766915</v>
      </c>
      <c r="V28" s="42">
        <f ca="1">AddTenorToDate($V$18,GetNumsForString($L28),GetCharsForString($L28))</f>
        <v>42795</v>
      </c>
      <c r="W28" s="48">
        <v>2.351</v>
      </c>
      <c r="X28" s="32">
        <f ca="1">StripCPI_S($M$2,$V$17,3,$L28,V27,X27,W28,$V$20,INDEX($W$5:$W$16,MONTH(V27)),$W$5:$W$16)</f>
        <v>255.48107558056111</v>
      </c>
      <c r="Y28" s="58"/>
      <c r="Z28" s="50"/>
      <c r="AA28" s="61"/>
      <c r="AB28" s="50"/>
      <c r="AC28" s="60"/>
      <c r="AD28" s="62"/>
    </row>
    <row r="29" spans="1:30">
      <c r="A29" s="183"/>
      <c r="B29" s="106"/>
      <c r="C29" s="245">
        <v>43611</v>
      </c>
      <c r="D29" s="246">
        <v>9.6431085160060808E-3</v>
      </c>
      <c r="E29" s="242"/>
      <c r="F29" s="245">
        <v>43611</v>
      </c>
      <c r="G29" s="246">
        <v>8.0625604841982404E-3</v>
      </c>
      <c r="H29" s="242"/>
      <c r="I29" s="245">
        <v>43611</v>
      </c>
      <c r="J29" s="246">
        <v>1.09945546407322E-2</v>
      </c>
      <c r="L29" s="35" t="s">
        <v>66</v>
      </c>
      <c r="M29" s="42">
        <f ca="1">AddTenorToDate($M$18,GetNumsForString($L29),GetCharsForString($L29))</f>
        <v>43160</v>
      </c>
      <c r="N29" s="48">
        <v>2.6520000000000001</v>
      </c>
      <c r="O29" s="33">
        <f t="shared" ca="1" si="0"/>
        <v>283.4737583251756</v>
      </c>
      <c r="P29" s="42">
        <f ca="1">AddTenorToDate($P$18,GetNumsForString($L29),GetCharsForString($L29))</f>
        <v>43132</v>
      </c>
      <c r="Q29" s="48">
        <v>1.54</v>
      </c>
      <c r="R29" s="33">
        <f t="shared" ca="1" si="1"/>
        <v>124.72564116660919</v>
      </c>
      <c r="S29" s="42">
        <f ca="1">AddTenorToDate($S$18,GetNumsForString($L29),GetCharsForString($L29))</f>
        <v>43160</v>
      </c>
      <c r="T29" s="38">
        <v>1.744</v>
      </c>
      <c r="U29" s="33">
        <f ca="1">StripCPI_S($M$2,$S$17,3,$L29,S28,U28,T29,$S$20,INDEX($T$5:$T$16,MONTH(S28)),$T$5:$T$16)</f>
        <v>136.67018383728924</v>
      </c>
      <c r="V29" s="42">
        <f ca="1">AddTenorToDate($V$18,GetNumsForString($L29),GetCharsForString($L29))</f>
        <v>43160</v>
      </c>
      <c r="W29" s="48">
        <v>2.4620000000000002</v>
      </c>
      <c r="X29" s="32">
        <f ca="1">StripCPI_S($M$2,$V$17,3,$L29,V28,X28,W29,$V$20,INDEX($W$5:$W$16,MONTH(V28)),$W$5:$W$16)</f>
        <v>262.90995695810471</v>
      </c>
      <c r="Y29" s="58"/>
      <c r="Z29" s="50"/>
      <c r="AA29" s="61"/>
      <c r="AB29" s="50"/>
      <c r="AC29" s="60"/>
      <c r="AD29" s="62"/>
    </row>
    <row r="30" spans="1:30">
      <c r="A30" s="183"/>
      <c r="B30" s="106"/>
      <c r="C30" s="245">
        <v>43976</v>
      </c>
      <c r="D30" s="246">
        <v>1.1657416392176202E-2</v>
      </c>
      <c r="E30" s="242"/>
      <c r="F30" s="245">
        <v>43976</v>
      </c>
      <c r="G30" s="246">
        <v>9.8831029502428804E-3</v>
      </c>
      <c r="H30" s="242"/>
      <c r="I30" s="245">
        <v>43976</v>
      </c>
      <c r="J30" s="246">
        <v>1.35067131030354E-2</v>
      </c>
      <c r="L30" s="35" t="s">
        <v>67</v>
      </c>
      <c r="M30" s="42">
        <f ca="1">AddTenorToDate($M$18,GetNumsForString($L30),GetCharsForString($L30))</f>
        <v>43525</v>
      </c>
      <c r="N30" s="48">
        <v>2.694</v>
      </c>
      <c r="O30" s="33">
        <f t="shared" ca="1" si="0"/>
        <v>291.70656735924888</v>
      </c>
      <c r="P30" s="42">
        <f ca="1">AddTenorToDate($P$18,GetNumsForString($L30),GetCharsForString($L30))</f>
        <v>43497</v>
      </c>
      <c r="Q30" s="48">
        <v>1.61</v>
      </c>
      <c r="R30" s="33">
        <f t="shared" ca="1" si="1"/>
        <v>127.17116739364766</v>
      </c>
      <c r="S30" s="42">
        <f ca="1">AddTenorToDate($S$18,GetNumsForString($L30),GetCharsForString($L30))</f>
        <v>43525</v>
      </c>
      <c r="T30" s="38">
        <v>1.8280000000000001</v>
      </c>
      <c r="U30" s="33">
        <f ca="1">StripCPI_S($M$2,$S$17,3,$L30,S29,U29,T30,$S$20,INDEX($T$5:$T$16,MONTH(S29)),$T$5:$T$16)</f>
        <v>139.74396384450495</v>
      </c>
      <c r="V30" s="42">
        <f ca="1">AddTenorToDate($V$18,GetNumsForString($L30),GetCharsForString($L30))</f>
        <v>43525</v>
      </c>
      <c r="W30" s="48">
        <v>2.5419999999999998</v>
      </c>
      <c r="X30" s="32">
        <f ca="1">StripCPI_S($M$2,$V$17,3,$L30,V29,X29,W30,$V$20,INDEX($W$5:$W$16,MONTH(V29)),$W$5:$W$16)</f>
        <v>270.64792224021187</v>
      </c>
      <c r="Y30" s="58"/>
      <c r="Z30" s="50"/>
      <c r="AA30" s="61"/>
      <c r="AB30" s="50"/>
      <c r="AC30" s="60"/>
      <c r="AD30" s="62"/>
    </row>
    <row r="31" spans="1:30">
      <c r="A31" s="183"/>
      <c r="B31" s="106"/>
      <c r="C31" s="245">
        <v>44341</v>
      </c>
      <c r="D31" s="246">
        <v>1.3641329642461899E-2</v>
      </c>
      <c r="E31" s="242"/>
      <c r="F31" s="245">
        <v>44341</v>
      </c>
      <c r="G31" s="246">
        <v>1.1643090807374601E-2</v>
      </c>
      <c r="H31" s="242"/>
      <c r="I31" s="245">
        <v>44341</v>
      </c>
      <c r="J31" s="246">
        <v>1.5796536902436101E-2</v>
      </c>
      <c r="L31" s="35" t="s">
        <v>68</v>
      </c>
      <c r="M31" s="42">
        <f ca="1">AddTenorToDate($M$18,GetNumsForString($L31),GetCharsForString($L31))</f>
        <v>43891</v>
      </c>
      <c r="N31" s="48">
        <v>2.746</v>
      </c>
      <c r="O31" s="33">
        <f t="shared" ca="1" si="0"/>
        <v>300.62856852409993</v>
      </c>
      <c r="P31" s="42">
        <f ca="1">AddTenorToDate($P$18,GetNumsForString($L31),GetCharsForString($L31))</f>
        <v>43862</v>
      </c>
      <c r="Q31" s="48">
        <v>1.6830000000000001</v>
      </c>
      <c r="R31" s="33">
        <f t="shared" ca="1" si="1"/>
        <v>129.86987014234302</v>
      </c>
      <c r="S31" s="42">
        <f ca="1">AddTenorToDate($S$18,GetNumsForString($L31),GetCharsForString($L31))</f>
        <v>43891</v>
      </c>
      <c r="T31" s="38">
        <v>1.8979999999999999</v>
      </c>
      <c r="U31" s="33">
        <f ca="1">StripCPI_S($M$2,$S$17,3,$L31,S30,U30,T31,$S$20,INDEX($T$5:$T$16,MONTH(S30)),$T$5:$T$16)</f>
        <v>142.98617811556451</v>
      </c>
      <c r="V31" s="42">
        <f ca="1">AddTenorToDate($V$18,GetNumsForString($L31),GetCharsForString($L31))</f>
        <v>43891</v>
      </c>
      <c r="W31" s="48">
        <v>2.6109999999999998</v>
      </c>
      <c r="X31" s="32">
        <f ca="1">StripCPI_S($M$2,$V$17,3,$L31,V30,X30,W31,$V$20,INDEX($W$5:$W$16,MONTH(V30)),$W$5:$W$16)</f>
        <v>278.8413713975105</v>
      </c>
      <c r="Y31" s="58"/>
      <c r="Z31" s="50"/>
      <c r="AA31" s="61"/>
      <c r="AB31" s="50"/>
      <c r="AC31" s="60"/>
      <c r="AD31" s="62"/>
    </row>
    <row r="32" spans="1:30">
      <c r="A32" s="183"/>
      <c r="B32" s="106"/>
      <c r="C32" s="245">
        <v>44706</v>
      </c>
      <c r="D32" s="246">
        <v>1.5547042010064E-2</v>
      </c>
      <c r="E32" s="242"/>
      <c r="F32" s="245">
        <v>44706</v>
      </c>
      <c r="G32" s="246">
        <v>1.32919108309208E-2</v>
      </c>
      <c r="H32" s="242"/>
      <c r="I32" s="245">
        <v>44706</v>
      </c>
      <c r="J32" s="246">
        <v>1.77913774138896E-2</v>
      </c>
      <c r="L32" s="35" t="s">
        <v>69</v>
      </c>
      <c r="M32" s="42">
        <f ca="1">AddTenorToDate($M$18,GetNumsForString($L32),GetCharsForString($L32))</f>
        <v>44256</v>
      </c>
      <c r="N32" s="48">
        <v>2.794</v>
      </c>
      <c r="O32" s="33">
        <f t="shared" ca="1" si="0"/>
        <v>310.04013206560262</v>
      </c>
      <c r="P32" s="42">
        <f ca="1">AddTenorToDate($P$18,GetNumsForString($L32),GetCharsForString($L32))</f>
        <v>44228</v>
      </c>
      <c r="Q32" s="48">
        <v>1.7629999999999999</v>
      </c>
      <c r="R32" s="33">
        <f t="shared" ca="1" si="1"/>
        <v>132.88903957911668</v>
      </c>
      <c r="S32" s="42">
        <f ca="1">AddTenorToDate($S$18,GetNumsForString($L32),GetCharsForString($L32))</f>
        <v>44256</v>
      </c>
      <c r="T32" s="38">
        <v>1.9770000000000001</v>
      </c>
      <c r="U32" s="33">
        <f ca="1">StripCPI_S($M$2,$S$17,3,$L32,S31,U31,T32,$S$20,INDEX($T$5:$T$16,MONTH(S31)),$T$5:$T$16)</f>
        <v>146.60762001485963</v>
      </c>
      <c r="V32" s="42">
        <f ca="1">AddTenorToDate($V$18,GetNumsForString($L32),GetCharsForString($L32))</f>
        <v>44256</v>
      </c>
      <c r="W32" s="48">
        <v>2.6737000000000002</v>
      </c>
      <c r="X32" s="32">
        <f ca="1">StripCPI_S($M$2,$V$17,3,$L32,V31,X31,W32,$V$20,INDEX($W$5:$W$16,MONTH(V31)),$W$5:$W$16)</f>
        <v>287.52327610391762</v>
      </c>
      <c r="Y32" s="58"/>
      <c r="Z32" s="50"/>
      <c r="AA32" s="61"/>
      <c r="AB32" s="50"/>
      <c r="AC32" s="60"/>
      <c r="AD32" s="62"/>
    </row>
    <row r="33" spans="1:30">
      <c r="A33" s="183"/>
      <c r="B33" s="106"/>
      <c r="C33" s="245">
        <v>45071</v>
      </c>
      <c r="D33" s="246">
        <v>1.7342163920355601E-2</v>
      </c>
      <c r="E33" s="242"/>
      <c r="F33" s="245">
        <v>45071</v>
      </c>
      <c r="G33" s="246">
        <v>1.4803333783931201E-2</v>
      </c>
      <c r="H33" s="242"/>
      <c r="I33" s="245">
        <v>45071</v>
      </c>
      <c r="J33" s="246">
        <v>1.96495402739746E-2</v>
      </c>
      <c r="L33" s="35" t="s">
        <v>70</v>
      </c>
      <c r="M33" s="42">
        <f ca="1">AddTenorToDate($M$18,GetNumsForString($L33),GetCharsForString($L33))</f>
        <v>44621</v>
      </c>
      <c r="N33" s="48">
        <v>2.8370000000000002</v>
      </c>
      <c r="O33" s="33">
        <f t="shared" ca="1" si="0"/>
        <v>319.90451828463091</v>
      </c>
      <c r="P33" s="42">
        <f ca="1">AddTenorToDate($P$18,GetNumsForString($L33),GetCharsForString($L33))</f>
        <v>44593</v>
      </c>
      <c r="Q33" s="48">
        <v>1.839</v>
      </c>
      <c r="R33" s="33">
        <f t="shared" ca="1" si="1"/>
        <v>136.14355448432343</v>
      </c>
      <c r="S33" s="42">
        <f ca="1">AddTenorToDate($S$18,GetNumsForString($L33),GetCharsForString($L33))</f>
        <v>44621</v>
      </c>
      <c r="T33" s="38">
        <v>2.0550000000000002</v>
      </c>
      <c r="U33" s="33">
        <f ca="1">StripCPI_S($M$2,$S$17,3,$L33,S32,U32,T33,$S$20,INDEX($T$5:$T$16,MONTH(S32)),$T$5:$T$16)</f>
        <v>150.54001819050885</v>
      </c>
      <c r="V33" s="42">
        <f ca="1">AddTenorToDate($V$18,GetNumsForString($L33),GetCharsForString($L33))</f>
        <v>44621</v>
      </c>
      <c r="W33" s="48">
        <v>2.7199999999999998</v>
      </c>
      <c r="X33" s="32">
        <f ca="1">StripCPI_S($M$2,$V$17,3,$L33,V32,X32,W33,$V$20,INDEX($W$5:$W$16,MONTH(V32)),$W$5:$W$16)</f>
        <v>296.41057875424417</v>
      </c>
      <c r="Y33" s="58"/>
      <c r="Z33" s="50"/>
      <c r="AA33" s="61"/>
      <c r="AB33" s="50"/>
      <c r="AC33" s="60"/>
      <c r="AD33" s="62"/>
    </row>
    <row r="34" spans="1:30">
      <c r="A34" s="183"/>
      <c r="B34" s="106"/>
      <c r="C34" s="245">
        <v>45801</v>
      </c>
      <c r="D34" s="246">
        <v>2.0321170157176299E-2</v>
      </c>
      <c r="E34" s="242"/>
      <c r="F34" s="245">
        <v>45801</v>
      </c>
      <c r="G34" s="246">
        <v>1.7391043107761E-2</v>
      </c>
      <c r="H34" s="242"/>
      <c r="I34" s="245">
        <v>45801</v>
      </c>
      <c r="J34" s="246">
        <v>2.2676767464715301E-2</v>
      </c>
      <c r="L34" s="35" t="s">
        <v>71</v>
      </c>
      <c r="M34" s="42">
        <f ca="1">AddTenorToDate($M$18,GetNumsForString($L34),GetCharsForString($L34))</f>
        <v>44986</v>
      </c>
      <c r="N34" s="48">
        <v>2.879</v>
      </c>
      <c r="O34" s="33">
        <f t="shared" ca="1" si="0"/>
        <v>330.32628048315576</v>
      </c>
      <c r="P34" s="42">
        <f ca="1">AddTenorToDate($P$18,GetNumsForString($L34),GetCharsForString($L34))</f>
        <v>44958</v>
      </c>
      <c r="Q34" s="48">
        <v>1.91</v>
      </c>
      <c r="R34" s="33">
        <f t="shared" ca="1" si="1"/>
        <v>139.6168919123418</v>
      </c>
      <c r="S34" s="42">
        <f ca="1">AddTenorToDate($S$18,GetNumsForString($L34),GetCharsForString($L34))</f>
        <v>44986</v>
      </c>
      <c r="T34" s="38">
        <v>2.1230000000000002</v>
      </c>
      <c r="U34" s="33">
        <f ca="1">StripCPI_S($M$2,$S$17,3,$L34,S33,U33,T34,$S$20,INDEX($T$5:$T$16,MONTH(S33)),$T$5:$T$16)</f>
        <v>154.66097824871514</v>
      </c>
      <c r="V34" s="42">
        <f ca="1">AddTenorToDate($V$18,GetNumsForString($L34),GetCharsForString($L34))</f>
        <v>44986</v>
      </c>
      <c r="W34" s="48">
        <v>2.7658</v>
      </c>
      <c r="X34" s="32">
        <f ca="1">StripCPI_S($M$2,$V$17,3,$L34,V33,X33,W34,$V$20,INDEX($W$5:$W$16,MONTH(V33)),$W$5:$W$16)</f>
        <v>305.83517685374125</v>
      </c>
      <c r="Y34" s="58"/>
      <c r="Z34" s="50"/>
      <c r="AA34" s="61"/>
      <c r="AB34" s="50"/>
      <c r="AC34" s="60"/>
      <c r="AD34" s="62"/>
    </row>
    <row r="35" spans="1:30">
      <c r="A35" s="183"/>
      <c r="B35" s="106"/>
      <c r="C35" s="245">
        <v>46896</v>
      </c>
      <c r="D35" s="246">
        <v>2.35626696020028E-2</v>
      </c>
      <c r="E35" s="242"/>
      <c r="F35" s="245">
        <v>46896</v>
      </c>
      <c r="G35" s="246">
        <v>2.0198223410550199E-2</v>
      </c>
      <c r="H35" s="242"/>
      <c r="I35" s="245">
        <v>46896</v>
      </c>
      <c r="J35" s="246">
        <v>2.5758696238447999E-2</v>
      </c>
      <c r="L35" s="35" t="s">
        <v>72</v>
      </c>
      <c r="M35" s="42">
        <f ca="1">AddTenorToDate($M$18,GetNumsForString($L35),GetCharsForString($L35))</f>
        <v>45717</v>
      </c>
      <c r="N35" s="48">
        <v>2.9550000000000001</v>
      </c>
      <c r="O35" s="33">
        <f t="shared" ca="1" si="0"/>
        <v>352.73219466670128</v>
      </c>
      <c r="P35" s="42">
        <f ca="1">AddTenorToDate($P$18,GetNumsForString($L35),GetCharsForString($L35))</f>
        <v>45689</v>
      </c>
      <c r="Q35" s="48">
        <v>2.0219999999999998</v>
      </c>
      <c r="R35" s="33">
        <f t="shared" ca="1" si="1"/>
        <v>146.92508345146425</v>
      </c>
      <c r="S35" s="42">
        <f ca="1">AddTenorToDate($S$18,GetNumsForString($L35),GetCharsForString($L35))</f>
        <v>45717</v>
      </c>
      <c r="T35" s="38">
        <v>2.2149999999999999</v>
      </c>
      <c r="U35" s="33">
        <f ca="1">StripCPI_S($M$2,$S$17,3,$L35,S34,U34,T35,$S$20,INDEX($T$5:$T$16,MONTH(S34)),$T$5:$T$16)</f>
        <v>163.04919693317538</v>
      </c>
      <c r="V35" s="42">
        <f ca="1">AddTenorToDate($V$18,GetNumsForString($L35),GetCharsForString($L35))</f>
        <v>45717</v>
      </c>
      <c r="W35" s="48">
        <v>2.7720000000000002</v>
      </c>
      <c r="X35" s="32">
        <f ca="1">StripCPI_S($M$2,$V$17,3,$L35,V34,X34,W35,$V$20,INDEX($W$5:$W$16,MONTH(V34)),$W$5:$W$16)</f>
        <v>323.21175707503306</v>
      </c>
      <c r="Y35" s="58"/>
      <c r="Z35" s="50"/>
      <c r="AA35" s="61"/>
      <c r="AB35" s="50"/>
      <c r="AC35" s="60"/>
      <c r="AD35" s="62"/>
    </row>
    <row r="36" spans="1:30">
      <c r="A36" s="183"/>
      <c r="B36" s="106"/>
      <c r="C36" s="245">
        <v>48721</v>
      </c>
      <c r="D36" s="246">
        <v>2.7092794536582501E-2</v>
      </c>
      <c r="E36" s="242"/>
      <c r="F36" s="245">
        <v>48721</v>
      </c>
      <c r="G36" s="246">
        <v>2.2324222644416702E-2</v>
      </c>
      <c r="H36" s="242"/>
      <c r="I36" s="245">
        <v>48721</v>
      </c>
      <c r="J36" s="246">
        <v>2.8373413487461599E-2</v>
      </c>
      <c r="L36" s="35" t="s">
        <v>73</v>
      </c>
      <c r="M36" s="42">
        <f ca="1">AddTenorToDate($M$18,GetNumsForString($L36),GetCharsForString($L36))</f>
        <v>46813</v>
      </c>
      <c r="N36" s="48">
        <v>3.0739999999999998</v>
      </c>
      <c r="O36" s="33">
        <f t="shared" ca="1" si="0"/>
        <v>391.66317151288411</v>
      </c>
      <c r="P36" s="42">
        <f ca="1">AddTenorToDate($P$18,GetNumsForString($L36),GetCharsForString($L36))</f>
        <v>46784</v>
      </c>
      <c r="Q36" s="48">
        <v>2.1059999999999999</v>
      </c>
      <c r="R36" s="33">
        <f t="shared" ca="1" si="1"/>
        <v>157.95700682483806</v>
      </c>
      <c r="S36" s="42">
        <f ca="1">AddTenorToDate($S$18,GetNumsForString($L36),GetCharsForString($L36))</f>
        <v>46813</v>
      </c>
      <c r="T36" s="38">
        <v>2.2930000000000001</v>
      </c>
      <c r="U36" s="33">
        <f ca="1">StripCPI_S($M$2,$S$17,3,$L36,S35,U35,T36,$S$20,INDEX($T$5:$T$16,MONTH(S35)),$T$5:$T$16)</f>
        <v>176.12969816966901</v>
      </c>
      <c r="V36" s="42">
        <f ca="1">AddTenorToDate($V$18,GetNumsForString($L36),GetCharsForString($L36))</f>
        <v>46813</v>
      </c>
      <c r="W36" s="48">
        <v>2.8959999999999999</v>
      </c>
      <c r="X36" s="32">
        <f ca="1">StripCPI_S($M$2,$V$17,3,$L36,V35,X35,W36,$V$20,INDEX($W$5:$W$16,MONTH(V35)),$W$5:$W$16)</f>
        <v>357.26393697896452</v>
      </c>
      <c r="Y36" s="58"/>
      <c r="Z36" s="50"/>
      <c r="AA36" s="61"/>
      <c r="AB36" s="50"/>
      <c r="AC36" s="60"/>
      <c r="AD36" s="62"/>
    </row>
    <row r="37" spans="1:30">
      <c r="A37" s="183"/>
      <c r="B37" s="106"/>
      <c r="C37" s="245">
        <v>50546</v>
      </c>
      <c r="D37" s="246">
        <v>2.9132596491535101E-2</v>
      </c>
      <c r="E37" s="242"/>
      <c r="F37" s="245">
        <v>50546</v>
      </c>
      <c r="G37" s="246">
        <v>2.3078453697911998E-2</v>
      </c>
      <c r="H37" s="242"/>
      <c r="I37" s="245">
        <v>50546</v>
      </c>
      <c r="J37" s="246">
        <v>2.9739219584879503E-2</v>
      </c>
      <c r="L37" s="35" t="s">
        <v>74</v>
      </c>
      <c r="M37" s="42">
        <f ca="1">AddTenorToDate($M$18,GetNumsForString($L37),GetCharsForString($L37))</f>
        <v>48639</v>
      </c>
      <c r="N37" s="48">
        <v>3.2069999999999999</v>
      </c>
      <c r="O37" s="33">
        <f t="shared" ca="1" si="0"/>
        <v>467.58316929335598</v>
      </c>
      <c r="P37" s="42">
        <f ca="1">AddTenorToDate($P$18,GetNumsForString($L37),GetCharsForString($L37))</f>
        <v>48611</v>
      </c>
      <c r="Q37" s="48">
        <v>2.177</v>
      </c>
      <c r="R37" s="33">
        <f t="shared" ca="1" si="1"/>
        <v>177.75953097011575</v>
      </c>
      <c r="S37" s="42">
        <f ca="1">AddTenorToDate($S$18,GetNumsForString($L37),GetCharsForString($L37))</f>
        <v>48639</v>
      </c>
      <c r="T37" s="38">
        <v>2.351</v>
      </c>
      <c r="U37" s="33">
        <f ca="1">StripCPI_S($M$2,$S$17,3,$L37,S36,U36,T37,$S$20,INDEX($T$5:$T$16,MONTH(S36)),$T$5:$T$16)</f>
        <v>199.51713826683894</v>
      </c>
      <c r="V37" s="42">
        <f ca="1">AddTenorToDate($V$18,GetNumsForString($L37),GetCharsForString($L37))</f>
        <v>48639</v>
      </c>
      <c r="W37" s="48">
        <v>2.9580000000000002</v>
      </c>
      <c r="X37" s="32">
        <f ca="1">StripCPI_S($M$2,$V$17,3,$L37,V36,X36,W37,$V$20,INDEX($W$5:$W$16,MONTH(V36)),$W$5:$W$16)</f>
        <v>417.06346032222569</v>
      </c>
      <c r="Y37" s="58"/>
      <c r="Z37" s="50"/>
      <c r="AA37" s="61"/>
      <c r="AB37" s="50"/>
      <c r="AC37" s="60"/>
      <c r="AD37" s="62"/>
    </row>
    <row r="38" spans="1:30">
      <c r="A38" s="183"/>
      <c r="B38" s="106"/>
      <c r="C38" s="245">
        <v>52371</v>
      </c>
      <c r="D38" s="246">
        <v>3.01936706620996E-2</v>
      </c>
      <c r="E38" s="242"/>
      <c r="F38" s="245">
        <v>52371</v>
      </c>
      <c r="G38" s="246">
        <v>2.3342446621533602E-2</v>
      </c>
      <c r="H38" s="242"/>
      <c r="I38" s="245">
        <v>52371</v>
      </c>
      <c r="J38" s="246">
        <v>3.0405802372165999E-2</v>
      </c>
      <c r="L38" s="35" t="s">
        <v>75</v>
      </c>
      <c r="M38" s="42">
        <f ca="1">AddTenorToDate($M$18,GetNumsForString($L38),GetCharsForString($L38))</f>
        <v>50465</v>
      </c>
      <c r="N38" s="48">
        <v>3.266</v>
      </c>
      <c r="O38" s="33">
        <f t="shared" ca="1" si="0"/>
        <v>555.40483984991181</v>
      </c>
      <c r="P38" s="42">
        <f ca="1">AddTenorToDate($P$18,GetNumsForString($L38),GetCharsForString($L38))</f>
        <v>50437</v>
      </c>
      <c r="Q38" s="48">
        <v>2.2440000000000002</v>
      </c>
      <c r="R38" s="33">
        <f t="shared" ca="1" si="1"/>
        <v>201.24066384349609</v>
      </c>
      <c r="S38" s="42">
        <f ca="1">AddTenorToDate($S$18,GetNumsForString($L38),GetCharsForString($L38))</f>
        <v>50465</v>
      </c>
      <c r="T38" s="38">
        <v>2.355</v>
      </c>
      <c r="U38" s="33">
        <f ca="1">StripCPI_S($M$2,$S$17,3,$L38,S37,U37,T38,$S$20,INDEX($T$5:$T$16,MONTH(S37)),$T$5:$T$16)</f>
        <v>224.31593603103872</v>
      </c>
      <c r="V38" s="42">
        <f ca="1">AddTenorToDate($V$18,GetNumsForString($L38),GetCharsForString($L38))</f>
        <v>50465</v>
      </c>
      <c r="W38" s="48">
        <v>2.968</v>
      </c>
      <c r="X38" s="32">
        <f ca="1">StripCPI_S($M$2,$V$17,3,$L38,V37,X37,W38,$V$20,INDEX($W$5:$W$16,MONTH(V37)),$W$5:$W$16)</f>
        <v>483.67416504445259</v>
      </c>
      <c r="Y38" s="110"/>
      <c r="Z38" s="50"/>
      <c r="AA38" s="61"/>
      <c r="AB38" s="50"/>
      <c r="AC38" s="60"/>
      <c r="AD38" s="62"/>
    </row>
    <row r="39" spans="1:30" ht="15.75" thickBot="1">
      <c r="A39" s="183"/>
      <c r="B39" s="106"/>
      <c r="C39" s="245">
        <v>54196</v>
      </c>
      <c r="D39" s="246">
        <v>3.0769461034046198E-2</v>
      </c>
      <c r="E39" s="242"/>
      <c r="F39" s="245">
        <v>54196</v>
      </c>
      <c r="G39" s="246">
        <v>2.3523674574888701E-2</v>
      </c>
      <c r="H39" s="242"/>
      <c r="I39" s="245">
        <v>54196</v>
      </c>
      <c r="J39" s="246">
        <v>3.0328598006856101E-2</v>
      </c>
      <c r="L39" s="35" t="s">
        <v>76</v>
      </c>
      <c r="M39" s="42">
        <f ca="1">AddTenorToDate($M$18,GetNumsForString($L39),GetCharsForString($L39))</f>
        <v>52291</v>
      </c>
      <c r="N39" s="48">
        <v>3.343</v>
      </c>
      <c r="O39" s="33">
        <f t="shared" ca="1" si="0"/>
        <v>666.97219330630787</v>
      </c>
      <c r="P39" s="43">
        <f ca="1">AddTenorToDate($P$18,GetNumsForString($L39),GetCharsForString($L39))</f>
        <v>52263</v>
      </c>
      <c r="Q39" s="49">
        <v>2.335</v>
      </c>
      <c r="R39" s="34">
        <f t="shared" ca="1" si="1"/>
        <v>230.93819486369429</v>
      </c>
      <c r="S39" s="43">
        <f ca="1">AddTenorToDate($S$18,GetNumsForString($L39),GetCharsForString($L39))</f>
        <v>52291</v>
      </c>
      <c r="T39" s="39">
        <v>2.3730000000000002</v>
      </c>
      <c r="U39" s="34">
        <f ca="1">StripCPI_S($M$2,$S$17,3,$L39,S38,U38,T39,$S$20,INDEX($T$5:$T$16,MONTH(S38)),$T$5:$T$16)</f>
        <v>253.33743779544238</v>
      </c>
      <c r="V39" s="43">
        <f ca="1">AddTenorToDate($V$18,GetNumsForString($L39),GetCharsForString($L39))</f>
        <v>52291</v>
      </c>
      <c r="W39" s="49">
        <v>2.95</v>
      </c>
      <c r="X39" s="40">
        <f ca="1">StripCPI_S($M$2,$V$17,3,$L39,V38,X38,W39,$V$20,INDEX($W$5:$W$16,MONTH(V38)),$W$5:$W$16)</f>
        <v>556.90596701749291</v>
      </c>
      <c r="Y39" s="110"/>
      <c r="Z39" s="50"/>
      <c r="AA39" s="61"/>
      <c r="AB39" s="50"/>
      <c r="AC39" s="60"/>
      <c r="AD39" s="62"/>
    </row>
    <row r="40" spans="1:30">
      <c r="A40" s="183"/>
      <c r="B40" s="106"/>
      <c r="C40" s="245">
        <v>56021</v>
      </c>
      <c r="D40" s="246">
        <v>3.1073965383697E-2</v>
      </c>
      <c r="E40" s="242"/>
      <c r="F40" s="245">
        <v>56021</v>
      </c>
      <c r="G40" s="246">
        <v>2.4238934792665198E-2</v>
      </c>
      <c r="H40" s="242"/>
      <c r="I40" s="245">
        <v>56021</v>
      </c>
      <c r="J40" s="246">
        <v>3.03253169571625E-2</v>
      </c>
      <c r="L40" s="35" t="s">
        <v>77</v>
      </c>
      <c r="M40" s="42">
        <f ca="1">AddTenorToDate($M$18,GetNumsForString($L40),GetCharsForString($L40))</f>
        <v>55944</v>
      </c>
      <c r="N40" s="48">
        <v>3.3809999999999998</v>
      </c>
      <c r="O40" s="32">
        <f t="shared" ca="1" si="0"/>
        <v>940.38336023883176</v>
      </c>
      <c r="P40" s="26"/>
      <c r="S40" s="26"/>
      <c r="T40" s="25"/>
      <c r="V40" s="26"/>
      <c r="Y40" s="110"/>
      <c r="Z40" s="50"/>
      <c r="AA40" s="61"/>
      <c r="AB40" s="50"/>
      <c r="AC40" s="60"/>
      <c r="AD40" s="62"/>
    </row>
    <row r="41" spans="1:30" ht="15.75" thickBot="1">
      <c r="A41" s="183"/>
      <c r="B41" s="106"/>
      <c r="C41" s="245">
        <v>57846</v>
      </c>
      <c r="D41" s="246">
        <v>3.1127142066485699E-2</v>
      </c>
      <c r="E41" s="242"/>
      <c r="F41" s="245">
        <v>57846</v>
      </c>
      <c r="G41" s="246">
        <v>2.47059171681345E-2</v>
      </c>
      <c r="H41" s="242"/>
      <c r="I41" s="245">
        <v>57846</v>
      </c>
      <c r="J41" s="246">
        <v>2.99369760037849E-2</v>
      </c>
      <c r="L41" s="36" t="s">
        <v>78</v>
      </c>
      <c r="M41" s="43">
        <f ca="1">AddTenorToDate($M$18,GetNumsForString($L41),GetCharsForString($L41))</f>
        <v>59596</v>
      </c>
      <c r="N41" s="49">
        <v>3.4209999999999998</v>
      </c>
      <c r="O41" s="40">
        <f t="shared" ca="1" si="0"/>
        <v>1336.9415554586387</v>
      </c>
      <c r="P41" s="26"/>
      <c r="S41" s="26"/>
      <c r="T41" s="27"/>
      <c r="V41" s="26"/>
      <c r="Y41" s="110"/>
      <c r="Z41" s="50"/>
      <c r="AA41" s="61"/>
      <c r="AB41" s="50"/>
      <c r="AC41" s="60"/>
      <c r="AD41" s="62"/>
    </row>
    <row r="42" spans="1:30" ht="15.75" thickBot="1">
      <c r="A42" s="183"/>
      <c r="B42" s="106"/>
      <c r="C42" s="247">
        <v>59671</v>
      </c>
      <c r="D42" s="248">
        <v>3.1045201900146702E-2</v>
      </c>
      <c r="E42" s="242"/>
      <c r="F42" s="247">
        <v>59671</v>
      </c>
      <c r="G42" s="248">
        <v>2.5269853288323499E-2</v>
      </c>
      <c r="H42" s="242"/>
      <c r="I42" s="247">
        <v>59671</v>
      </c>
      <c r="J42" s="248">
        <v>2.9578272074862001E-2</v>
      </c>
      <c r="Y42" s="110"/>
      <c r="Z42" s="50"/>
      <c r="AA42" s="61"/>
      <c r="AB42" s="50"/>
      <c r="AC42" s="60"/>
      <c r="AD42" s="62"/>
    </row>
    <row r="43" spans="1:30">
      <c r="A43" s="183"/>
      <c r="B43" s="59"/>
      <c r="E43" s="242"/>
      <c r="F43" s="242"/>
      <c r="G43" s="242"/>
      <c r="H43" s="242"/>
      <c r="M43" s="276"/>
      <c r="N43" s="2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50"/>
      <c r="AA43" s="61"/>
      <c r="AB43" s="50"/>
      <c r="AC43" s="60"/>
      <c r="AD43" s="62"/>
    </row>
    <row r="44" spans="1:30">
      <c r="H44" s="58"/>
      <c r="I44" s="58"/>
      <c r="L44" s="276"/>
      <c r="M44" s="276"/>
      <c r="N44" s="276"/>
      <c r="O44" s="276"/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50"/>
      <c r="AA44" s="61"/>
      <c r="AB44" s="50"/>
      <c r="AC44" s="60"/>
      <c r="AD44" s="62"/>
    </row>
    <row r="45" spans="1:30">
      <c r="H45" s="59"/>
      <c r="L45" s="276"/>
      <c r="M45" s="276"/>
      <c r="N45" s="276"/>
      <c r="O45" s="276"/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50"/>
      <c r="AA45" s="61"/>
      <c r="AB45" s="50"/>
      <c r="AC45" s="60"/>
      <c r="AD45" s="62"/>
    </row>
    <row r="46" spans="1:30">
      <c r="H46" s="59"/>
      <c r="I46" s="58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50"/>
      <c r="AA46" s="61"/>
      <c r="AB46" s="50"/>
      <c r="AC46" s="60"/>
      <c r="AD46" s="62"/>
    </row>
    <row r="47" spans="1:30">
      <c r="H47" s="59"/>
      <c r="I47" s="58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50"/>
      <c r="AA47" s="61"/>
      <c r="AB47" s="50"/>
      <c r="AC47" s="60"/>
      <c r="AD47" s="62"/>
    </row>
    <row r="48" spans="1:30">
      <c r="H48" s="60"/>
      <c r="I48" s="58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50"/>
      <c r="AA48" s="61"/>
      <c r="AB48" s="50"/>
      <c r="AC48" s="60"/>
      <c r="AD48" s="62"/>
    </row>
    <row r="49" spans="8:30">
      <c r="H49" s="59"/>
      <c r="I49" s="58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50"/>
      <c r="AA49" s="61"/>
      <c r="AB49" s="50"/>
      <c r="AC49" s="60"/>
      <c r="AD49" s="62"/>
    </row>
    <row r="50" spans="8:30">
      <c r="H50" s="59"/>
      <c r="I50" s="58"/>
      <c r="L50" s="276"/>
      <c r="M50" s="276"/>
      <c r="N50" s="276"/>
      <c r="O50" s="276"/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50"/>
      <c r="AA50" s="61"/>
      <c r="AB50" s="60"/>
      <c r="AC50" s="60"/>
      <c r="AD50" s="62"/>
    </row>
    <row r="51" spans="8:30">
      <c r="H51" s="59"/>
      <c r="I51" s="58"/>
      <c r="L51" s="276"/>
      <c r="M51" s="276"/>
      <c r="N51" s="276"/>
      <c r="O51" s="276"/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50"/>
      <c r="AA51" s="61"/>
      <c r="AB51" s="60"/>
      <c r="AC51" s="60"/>
      <c r="AD51" s="62"/>
    </row>
    <row r="52" spans="8:30">
      <c r="H52" s="59"/>
      <c r="I52" s="58"/>
      <c r="L52" s="276"/>
      <c r="M52" s="276"/>
      <c r="N52" s="276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50"/>
      <c r="AA52" s="61"/>
      <c r="AB52" s="60"/>
      <c r="AC52" s="60"/>
      <c r="AD52" s="62"/>
    </row>
    <row r="53" spans="8:30">
      <c r="H53" s="59"/>
      <c r="I53" s="58"/>
      <c r="J53" s="58"/>
      <c r="L53" s="276"/>
      <c r="M53" s="276"/>
      <c r="N53" s="27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50"/>
      <c r="AA53" s="61"/>
      <c r="AB53" s="50"/>
      <c r="AC53" s="60"/>
      <c r="AD53" s="62"/>
    </row>
    <row r="54" spans="8:30">
      <c r="H54" s="59"/>
      <c r="I54" s="58"/>
      <c r="J54" s="58"/>
      <c r="L54" s="276"/>
      <c r="M54" s="276"/>
      <c r="N54" s="276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50"/>
      <c r="AA54" s="61"/>
      <c r="AB54" s="50"/>
      <c r="AC54" s="60"/>
      <c r="AD54" s="62"/>
    </row>
    <row r="55" spans="8:30">
      <c r="H55" s="59"/>
      <c r="I55" s="58"/>
      <c r="L55" s="276"/>
      <c r="M55" s="276"/>
      <c r="N55" s="276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50"/>
      <c r="AA55" s="61"/>
      <c r="AB55" s="50"/>
      <c r="AC55" s="60"/>
      <c r="AD55" s="62"/>
    </row>
    <row r="56" spans="8:30">
      <c r="L56" s="276"/>
      <c r="M56" s="276"/>
      <c r="N56" s="276"/>
      <c r="O56" s="276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50"/>
      <c r="AA56" s="61"/>
      <c r="AB56" s="60"/>
      <c r="AC56" s="60"/>
      <c r="AD56" s="62"/>
    </row>
    <row r="57" spans="8:30"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50"/>
      <c r="AA57" s="61"/>
      <c r="AB57" s="60"/>
      <c r="AC57" s="60"/>
      <c r="AD57" s="62"/>
    </row>
    <row r="58" spans="8:30">
      <c r="L58" s="276"/>
      <c r="M58" s="276"/>
      <c r="N58" s="276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50"/>
      <c r="AA58" s="61"/>
      <c r="AB58" s="60"/>
      <c r="AC58" s="60"/>
      <c r="AD58" s="62"/>
    </row>
    <row r="59" spans="8:30">
      <c r="L59" s="276"/>
      <c r="M59" s="276"/>
      <c r="N59" s="276"/>
      <c r="O59" s="276"/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50"/>
      <c r="AA59" s="61"/>
      <c r="AB59" s="50"/>
      <c r="AC59" s="60"/>
      <c r="AD59" s="62"/>
    </row>
    <row r="60" spans="8:30">
      <c r="N60" s="58"/>
      <c r="Y60" s="58"/>
      <c r="Z60" s="50"/>
      <c r="AA60" s="61"/>
      <c r="AB60" s="50"/>
      <c r="AC60" s="60"/>
      <c r="AD60" s="62"/>
    </row>
    <row r="61" spans="8:30">
      <c r="M61" s="277"/>
      <c r="N61" s="277"/>
      <c r="O61" s="277"/>
      <c r="P61" s="277"/>
      <c r="Q61" s="277"/>
      <c r="R61" s="277"/>
      <c r="S61" s="277"/>
      <c r="T61" s="277"/>
      <c r="U61" s="277"/>
      <c r="V61" s="277"/>
      <c r="W61" s="277"/>
      <c r="X61" s="277"/>
      <c r="Y61" s="58"/>
      <c r="Z61" s="50"/>
      <c r="AA61" s="61"/>
      <c r="AB61" s="50"/>
      <c r="AC61" s="60"/>
      <c r="AD61" s="62"/>
    </row>
    <row r="62" spans="8:30">
      <c r="M62" s="277"/>
      <c r="N62" s="277"/>
      <c r="O62" s="277"/>
      <c r="P62" s="277"/>
      <c r="Q62" s="277"/>
      <c r="R62" s="277"/>
      <c r="S62" s="277"/>
      <c r="T62" s="277"/>
      <c r="U62" s="277"/>
      <c r="V62" s="277"/>
      <c r="W62" s="277"/>
      <c r="X62" s="277"/>
      <c r="Y62" s="58"/>
      <c r="Z62" s="50"/>
      <c r="AA62" s="52"/>
    </row>
    <row r="63" spans="8:30">
      <c r="M63" s="277"/>
      <c r="N63" s="277"/>
      <c r="O63" s="277"/>
      <c r="P63" s="277"/>
      <c r="Q63" s="277"/>
      <c r="R63" s="277"/>
      <c r="S63" s="277"/>
      <c r="T63" s="277"/>
      <c r="U63" s="277"/>
      <c r="V63" s="277"/>
      <c r="W63" s="277"/>
      <c r="X63" s="277"/>
      <c r="Y63" s="58"/>
      <c r="Z63" s="50"/>
      <c r="AA63" s="52"/>
    </row>
    <row r="64" spans="8:30">
      <c r="M64" s="277"/>
      <c r="N64" s="277"/>
      <c r="O64" s="277"/>
      <c r="P64" s="277"/>
      <c r="Q64" s="277"/>
      <c r="R64" s="277"/>
      <c r="S64" s="277"/>
      <c r="T64" s="277"/>
      <c r="U64" s="277"/>
      <c r="V64" s="277"/>
      <c r="W64" s="277"/>
      <c r="X64" s="277"/>
    </row>
    <row r="65" spans="13:24">
      <c r="M65" s="277"/>
      <c r="N65" s="277"/>
      <c r="O65" s="277"/>
      <c r="P65" s="277"/>
      <c r="Q65" s="277"/>
      <c r="R65" s="277"/>
      <c r="S65" s="277"/>
      <c r="T65" s="277"/>
      <c r="U65" s="277"/>
      <c r="V65" s="277"/>
      <c r="W65" s="277"/>
      <c r="X65" s="277"/>
    </row>
    <row r="66" spans="13:24">
      <c r="M66" s="277"/>
      <c r="N66" s="277"/>
      <c r="O66" s="277"/>
      <c r="P66" s="277"/>
      <c r="Q66" s="277"/>
      <c r="R66" s="277"/>
      <c r="S66" s="277"/>
      <c r="T66" s="277"/>
      <c r="U66" s="277"/>
      <c r="V66" s="277"/>
      <c r="W66" s="277"/>
      <c r="X66" s="277"/>
    </row>
    <row r="67" spans="13:24">
      <c r="M67" s="277"/>
      <c r="N67" s="277"/>
      <c r="O67" s="277"/>
      <c r="P67" s="277"/>
      <c r="Q67" s="277"/>
      <c r="R67" s="277"/>
      <c r="S67" s="277"/>
      <c r="T67" s="277"/>
      <c r="U67" s="277"/>
      <c r="V67" s="277"/>
      <c r="W67" s="277"/>
      <c r="X67" s="277"/>
    </row>
    <row r="68" spans="13:24">
      <c r="M68" s="277"/>
      <c r="N68" s="277"/>
      <c r="O68" s="277"/>
      <c r="P68" s="277"/>
      <c r="Q68" s="277"/>
      <c r="R68" s="277"/>
      <c r="S68" s="277"/>
      <c r="T68" s="277"/>
      <c r="U68" s="277"/>
      <c r="V68" s="277"/>
      <c r="W68" s="277"/>
      <c r="X68" s="277"/>
    </row>
    <row r="69" spans="13:24">
      <c r="M69" s="277"/>
      <c r="N69" s="277"/>
      <c r="O69" s="277"/>
      <c r="P69" s="277"/>
      <c r="Q69" s="277"/>
      <c r="R69" s="277"/>
      <c r="S69" s="277"/>
      <c r="T69" s="277"/>
      <c r="U69" s="277"/>
      <c r="V69" s="277"/>
      <c r="W69" s="277"/>
      <c r="X69" s="277"/>
    </row>
    <row r="70" spans="13:24">
      <c r="M70" s="277"/>
      <c r="N70" s="277"/>
      <c r="O70" s="277"/>
      <c r="P70" s="277"/>
      <c r="Q70" s="277"/>
      <c r="R70" s="277"/>
      <c r="S70" s="277"/>
      <c r="T70" s="277"/>
      <c r="U70" s="277"/>
      <c r="V70" s="277"/>
      <c r="W70" s="277"/>
      <c r="X70" s="277"/>
    </row>
    <row r="71" spans="13:24">
      <c r="M71" s="277"/>
      <c r="N71" s="277"/>
      <c r="O71" s="277"/>
      <c r="P71" s="277"/>
      <c r="Q71" s="277"/>
      <c r="R71" s="277"/>
      <c r="S71" s="277"/>
      <c r="T71" s="277"/>
      <c r="U71" s="277"/>
      <c r="V71" s="277"/>
      <c r="W71" s="277"/>
      <c r="X71" s="277"/>
    </row>
    <row r="72" spans="13:24">
      <c r="M72" s="277"/>
      <c r="N72" s="277"/>
      <c r="O72" s="277"/>
      <c r="P72" s="277"/>
      <c r="Q72" s="277"/>
      <c r="R72" s="277"/>
      <c r="S72" s="277"/>
      <c r="T72" s="277"/>
      <c r="U72" s="277"/>
      <c r="V72" s="277"/>
      <c r="W72" s="277"/>
      <c r="X72" s="277"/>
    </row>
    <row r="73" spans="13:24">
      <c r="M73" s="277"/>
      <c r="N73" s="277"/>
      <c r="O73" s="277"/>
      <c r="P73" s="277"/>
      <c r="Q73" s="277"/>
      <c r="R73" s="277"/>
      <c r="S73" s="277"/>
      <c r="T73" s="277"/>
      <c r="U73" s="277"/>
      <c r="V73" s="277"/>
      <c r="W73" s="277"/>
      <c r="X73" s="277"/>
    </row>
    <row r="74" spans="13:24">
      <c r="M74" s="277"/>
      <c r="N74" s="277"/>
      <c r="O74" s="277"/>
      <c r="P74" s="277"/>
      <c r="Q74" s="277"/>
      <c r="R74" s="277"/>
      <c r="S74" s="277"/>
      <c r="T74" s="277"/>
      <c r="U74" s="277"/>
      <c r="V74" s="277"/>
      <c r="W74" s="277"/>
      <c r="X74" s="277"/>
    </row>
    <row r="75" spans="13:24">
      <c r="M75" s="277"/>
      <c r="N75" s="277"/>
      <c r="O75" s="277"/>
      <c r="P75" s="277"/>
      <c r="Q75" s="277"/>
      <c r="R75" s="277"/>
      <c r="S75" s="277"/>
      <c r="T75" s="277"/>
      <c r="U75" s="277"/>
      <c r="V75" s="277"/>
      <c r="W75" s="277"/>
      <c r="X75" s="277"/>
    </row>
    <row r="76" spans="13:24">
      <c r="M76" s="277"/>
      <c r="N76" s="277"/>
      <c r="O76" s="277"/>
      <c r="P76" s="277"/>
      <c r="Q76" s="277"/>
      <c r="R76" s="277"/>
      <c r="S76" s="277"/>
      <c r="T76" s="277"/>
      <c r="U76" s="277"/>
      <c r="V76" s="277"/>
      <c r="W76" s="277"/>
      <c r="X76" s="277"/>
    </row>
    <row r="77" spans="13:24">
      <c r="M77" s="277"/>
      <c r="N77" s="277"/>
      <c r="O77" s="277"/>
      <c r="P77" s="277"/>
      <c r="Q77" s="277"/>
      <c r="R77" s="277"/>
      <c r="S77" s="277"/>
      <c r="T77" s="277"/>
      <c r="U77" s="277"/>
      <c r="V77" s="277"/>
      <c r="W77" s="277"/>
      <c r="X77" s="277"/>
    </row>
    <row r="78" spans="13:24">
      <c r="N78" s="58"/>
    </row>
    <row r="79" spans="13:24">
      <c r="N79" s="58"/>
    </row>
    <row r="80" spans="13:24">
      <c r="N80" s="58"/>
    </row>
    <row r="81" spans="14:14">
      <c r="N81" s="58"/>
    </row>
  </sheetData>
  <mergeCells count="3">
    <mergeCell ref="C4:D4"/>
    <mergeCell ref="F4:G4"/>
    <mergeCell ref="I4:J4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K224"/>
  <sheetViews>
    <sheetView showGridLines="0" workbookViewId="0">
      <selection activeCell="E19" sqref="E19"/>
    </sheetView>
  </sheetViews>
  <sheetFormatPr defaultRowHeight="15"/>
  <cols>
    <col min="1" max="1" width="10.7109375" bestFit="1" customWidth="1"/>
    <col min="4" max="4" width="10.7109375" bestFit="1" customWidth="1"/>
    <col min="7" max="7" width="10.7109375" bestFit="1" customWidth="1"/>
    <col min="10" max="10" width="10.85546875" bestFit="1" customWidth="1"/>
  </cols>
  <sheetData>
    <row r="1" spans="1:11">
      <c r="A1" s="58"/>
    </row>
    <row r="2" spans="1:11">
      <c r="A2" s="5" t="s">
        <v>19</v>
      </c>
      <c r="D2" s="5" t="s">
        <v>18</v>
      </c>
      <c r="G2" s="5" t="s">
        <v>20</v>
      </c>
      <c r="J2" s="5" t="s">
        <v>21</v>
      </c>
    </row>
    <row r="3" spans="1:11">
      <c r="A3" s="1" t="s">
        <v>0</v>
      </c>
      <c r="B3" s="1" t="s">
        <v>1</v>
      </c>
      <c r="D3" s="1" t="s">
        <v>0</v>
      </c>
      <c r="E3" s="1" t="s">
        <v>1</v>
      </c>
      <c r="G3" s="1" t="s">
        <v>0</v>
      </c>
      <c r="H3" s="1" t="s">
        <v>1</v>
      </c>
      <c r="J3" s="1" t="s">
        <v>0</v>
      </c>
      <c r="K3" s="1" t="s">
        <v>1</v>
      </c>
    </row>
    <row r="4" spans="1:11">
      <c r="A4" s="2">
        <v>41395</v>
      </c>
      <c r="B4">
        <v>125.38</v>
      </c>
      <c r="D4" s="2">
        <v>41395</v>
      </c>
      <c r="E4">
        <v>250</v>
      </c>
      <c r="G4" s="2">
        <v>41395</v>
      </c>
      <c r="H4" s="3">
        <v>232.94499999999999</v>
      </c>
      <c r="J4" s="2">
        <v>41395</v>
      </c>
      <c r="K4">
        <v>116.95</v>
      </c>
    </row>
    <row r="5" spans="1:11">
      <c r="A5" s="2">
        <v>41365</v>
      </c>
      <c r="B5">
        <v>125.29</v>
      </c>
      <c r="D5" s="2">
        <v>41365</v>
      </c>
      <c r="E5">
        <v>249.5</v>
      </c>
      <c r="G5" s="2">
        <v>41365</v>
      </c>
      <c r="H5" s="3">
        <v>232.53100000000001</v>
      </c>
      <c r="J5" s="2">
        <v>41365</v>
      </c>
      <c r="K5">
        <v>116.82</v>
      </c>
    </row>
    <row r="6" spans="1:11">
      <c r="A6" s="2">
        <v>41334</v>
      </c>
      <c r="B6">
        <v>125.42</v>
      </c>
      <c r="D6" s="2">
        <v>41334</v>
      </c>
      <c r="E6">
        <v>248.7</v>
      </c>
      <c r="G6" s="2">
        <v>41334</v>
      </c>
      <c r="H6" s="3">
        <v>232.773</v>
      </c>
      <c r="J6" s="2">
        <v>41334</v>
      </c>
      <c r="K6">
        <v>116.94</v>
      </c>
    </row>
    <row r="7" spans="1:11">
      <c r="A7" s="2">
        <v>41306</v>
      </c>
      <c r="B7">
        <v>124.48</v>
      </c>
      <c r="D7" s="2">
        <v>41306</v>
      </c>
      <c r="E7">
        <v>247.6</v>
      </c>
      <c r="G7" s="2">
        <v>41306</v>
      </c>
      <c r="H7" s="3">
        <v>232.166</v>
      </c>
      <c r="J7" s="2">
        <v>41306</v>
      </c>
      <c r="K7">
        <v>115.55</v>
      </c>
    </row>
    <row r="8" spans="1:11">
      <c r="A8" s="2">
        <v>41275</v>
      </c>
      <c r="B8">
        <v>124.16</v>
      </c>
      <c r="D8" s="2">
        <v>41275</v>
      </c>
      <c r="E8">
        <v>245.8</v>
      </c>
      <c r="G8" s="2">
        <v>41275</v>
      </c>
      <c r="H8" s="3">
        <v>230.28</v>
      </c>
      <c r="J8" s="2">
        <v>41275</v>
      </c>
      <c r="K8">
        <v>115.13</v>
      </c>
    </row>
    <row r="9" spans="1:11">
      <c r="A9" s="2">
        <v>41244</v>
      </c>
      <c r="B9">
        <v>124.83</v>
      </c>
      <c r="D9" s="2">
        <v>41244</v>
      </c>
      <c r="E9">
        <v>246.8</v>
      </c>
      <c r="G9" s="2">
        <v>41244</v>
      </c>
      <c r="H9" s="3">
        <v>229.601</v>
      </c>
      <c r="J9" s="2">
        <v>41244</v>
      </c>
      <c r="K9">
        <v>116.39</v>
      </c>
    </row>
    <row r="10" spans="1:11">
      <c r="A10" s="2">
        <v>41214</v>
      </c>
      <c r="B10">
        <v>124.4</v>
      </c>
      <c r="D10" s="2">
        <v>41214</v>
      </c>
      <c r="E10">
        <v>245.6</v>
      </c>
      <c r="G10" s="2">
        <v>41214</v>
      </c>
      <c r="H10" s="3">
        <v>230.221</v>
      </c>
      <c r="J10" s="2">
        <v>41214</v>
      </c>
      <c r="K10">
        <v>115.97</v>
      </c>
    </row>
    <row r="11" spans="1:11">
      <c r="A11" s="2">
        <v>41183</v>
      </c>
      <c r="B11">
        <v>124.61</v>
      </c>
      <c r="D11" s="2">
        <v>41183</v>
      </c>
      <c r="E11">
        <v>245.6</v>
      </c>
      <c r="G11" s="2">
        <v>41183</v>
      </c>
      <c r="H11" s="3">
        <v>231.31700000000001</v>
      </c>
      <c r="J11" s="2">
        <v>41183</v>
      </c>
      <c r="K11">
        <v>116.21</v>
      </c>
    </row>
    <row r="12" spans="1:11">
      <c r="A12" s="2">
        <v>41153</v>
      </c>
      <c r="B12">
        <v>124.51</v>
      </c>
      <c r="D12" s="2">
        <v>41153</v>
      </c>
      <c r="E12">
        <v>244.2</v>
      </c>
      <c r="G12" s="2">
        <v>41153</v>
      </c>
      <c r="H12" s="3">
        <v>231.40700000000001</v>
      </c>
      <c r="J12" s="2">
        <v>41153</v>
      </c>
      <c r="K12">
        <v>115.96</v>
      </c>
    </row>
    <row r="13" spans="1:11">
      <c r="A13" s="2">
        <v>41122</v>
      </c>
      <c r="B13">
        <v>124.86</v>
      </c>
      <c r="D13" s="2">
        <v>41122</v>
      </c>
      <c r="E13">
        <v>243</v>
      </c>
      <c r="G13" s="2">
        <v>41122</v>
      </c>
      <c r="H13" s="3">
        <v>230.37899999999999</v>
      </c>
      <c r="J13" s="2">
        <v>41122</v>
      </c>
      <c r="K13">
        <v>115.11</v>
      </c>
    </row>
    <row r="14" spans="1:11">
      <c r="A14" s="2">
        <v>41091</v>
      </c>
      <c r="B14">
        <v>124.07</v>
      </c>
      <c r="D14" s="2">
        <v>41091</v>
      </c>
      <c r="E14">
        <v>242.1</v>
      </c>
      <c r="G14" s="2">
        <v>41091</v>
      </c>
      <c r="H14" s="3">
        <v>229.10400000000001</v>
      </c>
      <c r="J14" s="2">
        <v>41091</v>
      </c>
      <c r="K14">
        <v>114.65</v>
      </c>
    </row>
    <row r="15" spans="1:11">
      <c r="A15" s="2">
        <v>41061</v>
      </c>
      <c r="B15">
        <v>124.64</v>
      </c>
      <c r="D15" s="2">
        <v>41061</v>
      </c>
      <c r="E15">
        <v>241.8</v>
      </c>
      <c r="G15" s="2">
        <v>41061</v>
      </c>
      <c r="H15" s="3">
        <v>229.47800000000001</v>
      </c>
      <c r="J15" s="2">
        <v>41061</v>
      </c>
      <c r="K15">
        <v>115.28</v>
      </c>
    </row>
    <row r="16" spans="1:11">
      <c r="A16" s="2">
        <v>41030</v>
      </c>
      <c r="B16">
        <v>124.57</v>
      </c>
      <c r="D16" s="2">
        <v>41030</v>
      </c>
      <c r="E16">
        <v>242.4</v>
      </c>
      <c r="G16" s="2">
        <v>41030</v>
      </c>
      <c r="H16" s="3">
        <v>229.815</v>
      </c>
      <c r="J16" s="2">
        <v>41030</v>
      </c>
      <c r="K16">
        <v>115.37</v>
      </c>
    </row>
    <row r="17" spans="1:11">
      <c r="A17" s="2">
        <v>41000</v>
      </c>
      <c r="B17">
        <v>124.65</v>
      </c>
      <c r="D17" s="2">
        <v>41000</v>
      </c>
      <c r="E17">
        <v>242.5</v>
      </c>
      <c r="G17" s="2">
        <v>41000</v>
      </c>
      <c r="H17" s="3">
        <v>230.08500000000001</v>
      </c>
      <c r="J17" s="2">
        <v>41000</v>
      </c>
      <c r="K17">
        <v>115.55</v>
      </c>
    </row>
    <row r="18" spans="1:11">
      <c r="A18" s="2">
        <v>40969</v>
      </c>
      <c r="B18">
        <v>124.45</v>
      </c>
      <c r="D18" s="2">
        <v>40969</v>
      </c>
      <c r="E18">
        <v>240.8</v>
      </c>
      <c r="G18" s="2">
        <v>40969</v>
      </c>
      <c r="H18" s="3">
        <v>229.392</v>
      </c>
      <c r="J18" s="2">
        <v>40969</v>
      </c>
      <c r="K18">
        <v>115.02</v>
      </c>
    </row>
    <row r="19" spans="1:11">
      <c r="A19" s="2">
        <v>40940</v>
      </c>
      <c r="B19">
        <v>123.42</v>
      </c>
      <c r="D19" s="2">
        <v>40940</v>
      </c>
      <c r="E19">
        <v>239.9</v>
      </c>
      <c r="G19" s="2">
        <v>40940</v>
      </c>
      <c r="H19" s="3">
        <v>227.66300000000001</v>
      </c>
      <c r="J19" s="2">
        <v>40940</v>
      </c>
      <c r="K19">
        <v>113.53</v>
      </c>
    </row>
    <row r="20" spans="1:11">
      <c r="A20" s="2">
        <v>40909</v>
      </c>
      <c r="B20">
        <v>122.94</v>
      </c>
      <c r="D20" s="2">
        <v>40909</v>
      </c>
      <c r="E20">
        <v>238</v>
      </c>
      <c r="G20" s="2">
        <v>40909</v>
      </c>
      <c r="H20" s="3">
        <v>226.66499999999999</v>
      </c>
      <c r="J20" s="2">
        <v>40909</v>
      </c>
      <c r="K20">
        <v>112.96</v>
      </c>
    </row>
    <row r="21" spans="1:11">
      <c r="A21" s="2">
        <v>40878</v>
      </c>
      <c r="B21">
        <v>123.35</v>
      </c>
      <c r="D21" s="2">
        <v>40878</v>
      </c>
      <c r="E21">
        <v>239.4</v>
      </c>
      <c r="G21" s="2">
        <v>40878</v>
      </c>
      <c r="H21" s="3">
        <v>225.672</v>
      </c>
      <c r="J21" s="2">
        <v>40878</v>
      </c>
      <c r="K21">
        <v>113.91</v>
      </c>
    </row>
    <row r="22" spans="1:11">
      <c r="A22" s="2">
        <v>40848</v>
      </c>
      <c r="B22">
        <v>122.86</v>
      </c>
      <c r="D22" s="2">
        <v>40848</v>
      </c>
      <c r="E22">
        <v>238.5</v>
      </c>
      <c r="G22" s="2">
        <v>40848</v>
      </c>
      <c r="H22" s="3">
        <v>226.23</v>
      </c>
      <c r="J22" s="2">
        <v>40848</v>
      </c>
      <c r="K22">
        <v>113.53</v>
      </c>
    </row>
    <row r="23" spans="1:11">
      <c r="A23" s="2">
        <v>40817</v>
      </c>
      <c r="B23">
        <v>122.59</v>
      </c>
      <c r="D23" s="2">
        <v>40817</v>
      </c>
      <c r="E23">
        <v>238</v>
      </c>
      <c r="G23" s="2">
        <v>40817</v>
      </c>
      <c r="H23" s="3">
        <v>226.42099999999999</v>
      </c>
      <c r="J23" s="2">
        <v>40817</v>
      </c>
      <c r="K23">
        <v>113.44</v>
      </c>
    </row>
    <row r="24" spans="1:11">
      <c r="A24" s="2">
        <v>40787</v>
      </c>
      <c r="B24">
        <v>122.38</v>
      </c>
      <c r="D24" s="2">
        <v>40787</v>
      </c>
      <c r="E24">
        <v>237.9</v>
      </c>
      <c r="G24" s="2">
        <v>40787</v>
      </c>
      <c r="H24" s="3">
        <v>226.88900000000001</v>
      </c>
      <c r="J24" s="2">
        <v>40787</v>
      </c>
      <c r="K24">
        <v>113.07</v>
      </c>
    </row>
    <row r="25" spans="1:11">
      <c r="A25" s="2">
        <v>40756</v>
      </c>
      <c r="B25">
        <v>122.42</v>
      </c>
      <c r="D25" s="2">
        <v>40756</v>
      </c>
      <c r="E25">
        <v>236.1</v>
      </c>
      <c r="G25" s="2">
        <v>40756</v>
      </c>
      <c r="H25" s="3">
        <v>226.54499999999999</v>
      </c>
      <c r="J25" s="2">
        <v>40756</v>
      </c>
      <c r="K25">
        <v>112.25</v>
      </c>
    </row>
    <row r="26" spans="1:11">
      <c r="A26" s="2">
        <v>40725</v>
      </c>
      <c r="B26">
        <v>121.8</v>
      </c>
      <c r="D26" s="2">
        <v>40725</v>
      </c>
      <c r="E26">
        <v>234.7</v>
      </c>
      <c r="G26" s="2">
        <v>40725</v>
      </c>
      <c r="H26" s="3">
        <v>225.922</v>
      </c>
      <c r="J26" s="2">
        <v>40725</v>
      </c>
      <c r="K26">
        <v>112.05</v>
      </c>
    </row>
    <row r="27" spans="1:11">
      <c r="A27" s="2">
        <v>40695</v>
      </c>
      <c r="B27">
        <v>122.38</v>
      </c>
      <c r="D27" s="2">
        <v>40695</v>
      </c>
      <c r="E27">
        <v>235.2</v>
      </c>
      <c r="G27" s="2">
        <v>40695</v>
      </c>
      <c r="H27" s="3">
        <v>225.72200000000001</v>
      </c>
      <c r="J27" s="2">
        <v>40695</v>
      </c>
      <c r="K27">
        <v>112.73</v>
      </c>
    </row>
    <row r="28" spans="1:11">
      <c r="A28" s="2">
        <v>40664</v>
      </c>
      <c r="B28">
        <v>122.3</v>
      </c>
      <c r="D28" s="2">
        <v>40664</v>
      </c>
      <c r="E28">
        <v>235.2</v>
      </c>
      <c r="G28" s="2">
        <v>40664</v>
      </c>
      <c r="H28" s="3">
        <v>225.964</v>
      </c>
      <c r="J28" s="2">
        <v>40664</v>
      </c>
      <c r="K28">
        <v>112.73</v>
      </c>
    </row>
    <row r="29" spans="1:11">
      <c r="A29" s="2">
        <v>40634</v>
      </c>
      <c r="B29">
        <v>122.2</v>
      </c>
      <c r="D29" s="2">
        <v>40634</v>
      </c>
      <c r="E29">
        <v>234.4</v>
      </c>
      <c r="G29" s="2">
        <v>40634</v>
      </c>
      <c r="H29" s="3">
        <v>224.90600000000001</v>
      </c>
      <c r="J29" s="2">
        <v>40634</v>
      </c>
      <c r="K29">
        <v>112.74</v>
      </c>
    </row>
    <row r="30" spans="1:11">
      <c r="A30" s="2">
        <v>40603</v>
      </c>
      <c r="B30">
        <v>121.74</v>
      </c>
      <c r="D30" s="2">
        <v>40603</v>
      </c>
      <c r="E30">
        <v>232.5</v>
      </c>
      <c r="G30" s="2">
        <v>40603</v>
      </c>
      <c r="H30" s="3">
        <v>223.46700000000001</v>
      </c>
      <c r="J30" s="2">
        <v>40603</v>
      </c>
      <c r="K30">
        <v>112.1</v>
      </c>
    </row>
    <row r="31" spans="1:11">
      <c r="A31" s="2">
        <v>40575</v>
      </c>
      <c r="B31">
        <v>120.77</v>
      </c>
      <c r="D31" s="2">
        <v>40575</v>
      </c>
      <c r="E31">
        <v>231.3</v>
      </c>
      <c r="G31" s="2">
        <v>40575</v>
      </c>
      <c r="H31" s="3">
        <v>221.309</v>
      </c>
      <c r="J31" s="2">
        <v>40575</v>
      </c>
      <c r="K31">
        <v>110.57</v>
      </c>
    </row>
    <row r="32" spans="1:11">
      <c r="A32" s="2">
        <v>40544</v>
      </c>
      <c r="B32">
        <v>120.24</v>
      </c>
      <c r="D32" s="2">
        <v>40544</v>
      </c>
      <c r="E32">
        <v>229</v>
      </c>
      <c r="G32" s="2">
        <v>40544</v>
      </c>
      <c r="H32" s="3">
        <v>220.22300000000001</v>
      </c>
      <c r="J32" s="2">
        <v>40544</v>
      </c>
      <c r="K32">
        <v>110.1</v>
      </c>
    </row>
    <row r="33" spans="1:11">
      <c r="A33" s="2">
        <v>40513</v>
      </c>
      <c r="B33">
        <v>120.53</v>
      </c>
      <c r="D33" s="2">
        <v>40513</v>
      </c>
      <c r="E33">
        <v>228.4</v>
      </c>
      <c r="G33" s="2">
        <v>40513</v>
      </c>
      <c r="H33" s="3">
        <v>219.179</v>
      </c>
      <c r="J33" s="2">
        <v>40513</v>
      </c>
      <c r="K33">
        <v>110.93</v>
      </c>
    </row>
    <row r="34" spans="1:11">
      <c r="A34" s="2">
        <v>40483</v>
      </c>
      <c r="B34">
        <v>120.03</v>
      </c>
      <c r="D34" s="2">
        <v>40483</v>
      </c>
      <c r="E34">
        <v>226.8</v>
      </c>
      <c r="G34" s="2">
        <v>40483</v>
      </c>
      <c r="H34" s="3">
        <v>218.803</v>
      </c>
      <c r="J34" s="2">
        <v>40483</v>
      </c>
      <c r="K34">
        <v>110.28</v>
      </c>
    </row>
    <row r="35" spans="1:11">
      <c r="A35" s="2">
        <v>40452</v>
      </c>
      <c r="B35">
        <v>119.97</v>
      </c>
      <c r="D35" s="2">
        <v>40452</v>
      </c>
      <c r="E35">
        <v>225.8</v>
      </c>
      <c r="G35" s="2">
        <v>40452</v>
      </c>
      <c r="H35" s="3">
        <v>218.71100000000001</v>
      </c>
      <c r="J35" s="2">
        <v>40452</v>
      </c>
      <c r="K35">
        <v>110.19</v>
      </c>
    </row>
    <row r="36" spans="1:11">
      <c r="A36" s="2">
        <v>40422</v>
      </c>
      <c r="B36">
        <v>119.83</v>
      </c>
      <c r="D36" s="2">
        <v>40422</v>
      </c>
      <c r="E36">
        <v>225.3</v>
      </c>
      <c r="G36" s="2">
        <v>40422</v>
      </c>
      <c r="H36" s="3">
        <v>218.43899999999999</v>
      </c>
      <c r="J36" s="2">
        <v>40422</v>
      </c>
      <c r="K36">
        <v>109.86</v>
      </c>
    </row>
    <row r="37" spans="1:11">
      <c r="A37" s="2">
        <v>40391</v>
      </c>
      <c r="B37">
        <v>119.88</v>
      </c>
      <c r="D37" s="2">
        <v>40391</v>
      </c>
      <c r="E37">
        <v>224.5</v>
      </c>
      <c r="G37" s="2">
        <v>40391</v>
      </c>
      <c r="H37" s="3">
        <v>218.31200000000001</v>
      </c>
      <c r="J37" s="2">
        <v>40391</v>
      </c>
      <c r="K37">
        <v>109.52</v>
      </c>
    </row>
    <row r="38" spans="1:11">
      <c r="A38" s="2">
        <v>40360</v>
      </c>
      <c r="B38">
        <v>119.61</v>
      </c>
      <c r="D38" s="2">
        <v>40360</v>
      </c>
      <c r="E38">
        <v>223.6</v>
      </c>
      <c r="G38" s="2">
        <v>40360</v>
      </c>
      <c r="H38" s="3">
        <v>218.011</v>
      </c>
      <c r="J38" s="2">
        <v>40360</v>
      </c>
      <c r="K38">
        <v>109.3</v>
      </c>
    </row>
    <row r="39" spans="1:11">
      <c r="A39" s="2">
        <v>40330</v>
      </c>
      <c r="B39">
        <v>119.96</v>
      </c>
      <c r="D39" s="2">
        <v>40330</v>
      </c>
      <c r="E39">
        <v>224.1</v>
      </c>
      <c r="G39" s="2">
        <v>40330</v>
      </c>
      <c r="H39" s="3">
        <v>217.965</v>
      </c>
      <c r="J39" s="2">
        <v>40330</v>
      </c>
      <c r="K39">
        <v>109.78</v>
      </c>
    </row>
    <row r="40" spans="1:11">
      <c r="A40" s="2">
        <v>40299</v>
      </c>
      <c r="B40">
        <v>119.99</v>
      </c>
      <c r="D40" s="2">
        <v>40299</v>
      </c>
      <c r="E40">
        <v>223.6</v>
      </c>
      <c r="G40" s="2">
        <v>40299</v>
      </c>
      <c r="H40" s="3">
        <v>218.178</v>
      </c>
      <c r="J40" s="2">
        <v>40299</v>
      </c>
      <c r="K40">
        <v>109.8</v>
      </c>
    </row>
    <row r="41" spans="1:11">
      <c r="A41" s="2">
        <v>40269</v>
      </c>
      <c r="B41">
        <v>119.88</v>
      </c>
      <c r="D41" s="2">
        <v>40269</v>
      </c>
      <c r="E41">
        <v>222.8</v>
      </c>
      <c r="G41" s="2">
        <v>40269</v>
      </c>
      <c r="H41" s="3">
        <v>218.00899999999999</v>
      </c>
      <c r="J41" s="2">
        <v>40269</v>
      </c>
      <c r="K41">
        <v>109.69</v>
      </c>
    </row>
    <row r="42" spans="1:11">
      <c r="A42" s="2">
        <v>40238</v>
      </c>
      <c r="B42">
        <v>119.54</v>
      </c>
      <c r="D42" s="2">
        <v>40238</v>
      </c>
      <c r="E42">
        <v>220.7</v>
      </c>
      <c r="G42" s="2">
        <v>40238</v>
      </c>
      <c r="H42" s="3">
        <v>217.631</v>
      </c>
      <c r="J42" s="2">
        <v>40238</v>
      </c>
      <c r="K42">
        <v>109.26</v>
      </c>
    </row>
    <row r="43" spans="1:11">
      <c r="A43" s="2">
        <v>40210</v>
      </c>
      <c r="B43">
        <v>118.96</v>
      </c>
      <c r="D43" s="2">
        <v>40210</v>
      </c>
      <c r="E43">
        <v>219.2</v>
      </c>
      <c r="G43" s="2">
        <v>40210</v>
      </c>
      <c r="H43" s="3">
        <v>216.74100000000001</v>
      </c>
      <c r="J43" s="2">
        <v>40210</v>
      </c>
      <c r="K43">
        <v>108.03</v>
      </c>
    </row>
    <row r="44" spans="1:11">
      <c r="A44" s="2">
        <v>40179</v>
      </c>
      <c r="B44">
        <v>118.33</v>
      </c>
      <c r="D44" s="2">
        <v>40179</v>
      </c>
      <c r="E44">
        <v>217.9</v>
      </c>
      <c r="G44" s="2">
        <v>40179</v>
      </c>
      <c r="H44" s="3">
        <v>216.68700000000001</v>
      </c>
      <c r="J44" s="2">
        <v>40179</v>
      </c>
      <c r="K44">
        <v>107.69</v>
      </c>
    </row>
    <row r="45" spans="1:11">
      <c r="A45" s="2">
        <v>40148</v>
      </c>
      <c r="B45">
        <v>118.58</v>
      </c>
      <c r="D45" s="2">
        <v>40148</v>
      </c>
      <c r="E45">
        <v>218</v>
      </c>
      <c r="G45" s="2">
        <v>40148</v>
      </c>
      <c r="H45" s="3">
        <v>215.94900000000001</v>
      </c>
      <c r="J45" s="2">
        <v>40148</v>
      </c>
      <c r="K45">
        <v>108.61</v>
      </c>
    </row>
    <row r="46" spans="1:11">
      <c r="A46" s="2">
        <v>40118</v>
      </c>
      <c r="B46">
        <v>118.29</v>
      </c>
      <c r="D46" s="2">
        <v>40118</v>
      </c>
      <c r="E46">
        <v>216.6</v>
      </c>
      <c r="G46" s="2">
        <v>40118</v>
      </c>
      <c r="H46" s="3">
        <v>216.33</v>
      </c>
      <c r="J46" s="2">
        <v>40118</v>
      </c>
      <c r="K46">
        <v>108.28</v>
      </c>
    </row>
    <row r="47" spans="1:11">
      <c r="A47" s="2">
        <v>40087</v>
      </c>
      <c r="B47">
        <v>118.22</v>
      </c>
      <c r="D47" s="2">
        <v>40087</v>
      </c>
      <c r="E47">
        <v>216</v>
      </c>
      <c r="G47" s="2">
        <v>40087</v>
      </c>
      <c r="H47" s="3">
        <v>216.17699999999999</v>
      </c>
      <c r="J47" s="2">
        <v>40087</v>
      </c>
      <c r="K47">
        <v>108.17</v>
      </c>
    </row>
    <row r="48" spans="1:11">
      <c r="A48" s="2">
        <v>40057</v>
      </c>
      <c r="B48">
        <v>118.09</v>
      </c>
      <c r="D48" s="2">
        <v>40057</v>
      </c>
      <c r="E48">
        <v>215.3</v>
      </c>
      <c r="G48" s="2">
        <v>40057</v>
      </c>
      <c r="H48" s="3">
        <v>215.96899999999999</v>
      </c>
      <c r="J48" s="2">
        <v>40057</v>
      </c>
      <c r="K48">
        <v>107.92</v>
      </c>
    </row>
    <row r="49" spans="1:11">
      <c r="A49" s="2">
        <v>40026</v>
      </c>
      <c r="B49">
        <v>118.3</v>
      </c>
      <c r="D49" s="2">
        <v>40026</v>
      </c>
      <c r="E49">
        <v>214.4</v>
      </c>
      <c r="G49" s="2">
        <v>40026</v>
      </c>
      <c r="H49" s="3">
        <v>215.834</v>
      </c>
      <c r="J49" s="2">
        <v>40026</v>
      </c>
      <c r="K49">
        <v>107.89</v>
      </c>
    </row>
    <row r="50" spans="1:11">
      <c r="A50" s="2">
        <v>39995</v>
      </c>
      <c r="B50">
        <v>117.73</v>
      </c>
      <c r="D50" s="2">
        <v>39995</v>
      </c>
      <c r="E50">
        <v>213.4</v>
      </c>
      <c r="G50" s="2">
        <v>39995</v>
      </c>
      <c r="H50" s="3">
        <v>215.351</v>
      </c>
      <c r="J50" s="2">
        <v>39995</v>
      </c>
      <c r="K50">
        <v>107.52</v>
      </c>
    </row>
    <row r="51" spans="1:11">
      <c r="A51" s="2">
        <v>39965</v>
      </c>
      <c r="B51">
        <v>118.27</v>
      </c>
      <c r="D51" s="2">
        <v>39965</v>
      </c>
      <c r="E51">
        <v>213.4</v>
      </c>
      <c r="G51" s="2">
        <v>39965</v>
      </c>
      <c r="H51" s="3">
        <v>215.69300000000001</v>
      </c>
      <c r="J51" s="2">
        <v>39965</v>
      </c>
      <c r="K51">
        <v>108.27</v>
      </c>
    </row>
    <row r="52" spans="1:11">
      <c r="A52" s="2">
        <v>39934</v>
      </c>
      <c r="B52">
        <v>118.17</v>
      </c>
      <c r="D52" s="2">
        <v>39934</v>
      </c>
      <c r="E52">
        <v>212.8</v>
      </c>
      <c r="G52" s="2">
        <v>39934</v>
      </c>
      <c r="H52" s="3">
        <v>213.85599999999999</v>
      </c>
      <c r="J52" s="2">
        <v>39934</v>
      </c>
      <c r="K52">
        <v>108.1</v>
      </c>
    </row>
    <row r="53" spans="1:11">
      <c r="A53" s="2">
        <v>39904</v>
      </c>
      <c r="B53">
        <v>118</v>
      </c>
      <c r="D53" s="2">
        <v>39904</v>
      </c>
      <c r="E53">
        <v>211.5</v>
      </c>
      <c r="G53" s="2">
        <v>39904</v>
      </c>
      <c r="H53" s="3">
        <v>213.24</v>
      </c>
      <c r="J53" s="2">
        <v>39904</v>
      </c>
      <c r="K53">
        <v>108.04</v>
      </c>
    </row>
    <row r="54" spans="1:11">
      <c r="A54" s="2">
        <v>39873</v>
      </c>
      <c r="B54">
        <v>117.84</v>
      </c>
      <c r="D54" s="2">
        <v>39873</v>
      </c>
      <c r="E54">
        <v>211.3</v>
      </c>
      <c r="G54" s="2">
        <v>39873</v>
      </c>
      <c r="H54" s="3">
        <v>212.709</v>
      </c>
      <c r="J54" s="2">
        <v>39873</v>
      </c>
      <c r="K54">
        <v>107.66</v>
      </c>
    </row>
    <row r="55" spans="1:11">
      <c r="A55" s="2">
        <v>39845</v>
      </c>
      <c r="B55">
        <v>117.61</v>
      </c>
      <c r="D55" s="2">
        <v>39845</v>
      </c>
      <c r="E55">
        <v>211.4</v>
      </c>
      <c r="G55" s="2">
        <v>39845</v>
      </c>
      <c r="H55" s="3">
        <v>212.19300000000001</v>
      </c>
      <c r="J55" s="2">
        <v>39845</v>
      </c>
      <c r="K55">
        <v>107.26</v>
      </c>
    </row>
    <row r="56" spans="1:11">
      <c r="A56" s="2">
        <v>39814</v>
      </c>
      <c r="B56">
        <v>117.18</v>
      </c>
      <c r="D56" s="2">
        <v>39814</v>
      </c>
      <c r="E56">
        <v>210.1</v>
      </c>
      <c r="G56" s="2">
        <v>39814</v>
      </c>
      <c r="H56" s="3">
        <v>211.143</v>
      </c>
      <c r="J56" s="2">
        <v>39814</v>
      </c>
      <c r="K56">
        <v>106.82</v>
      </c>
    </row>
    <row r="57" spans="1:11">
      <c r="A57" s="2">
        <v>39783</v>
      </c>
      <c r="B57">
        <v>117.65</v>
      </c>
      <c r="D57" s="2">
        <v>39783</v>
      </c>
      <c r="E57">
        <v>212.9</v>
      </c>
      <c r="G57" s="2">
        <v>39783</v>
      </c>
      <c r="H57" s="3">
        <v>210.22800000000001</v>
      </c>
      <c r="J57" s="2">
        <v>39783</v>
      </c>
      <c r="K57">
        <v>107.75</v>
      </c>
    </row>
    <row r="58" spans="1:11">
      <c r="A58" s="2">
        <v>39753</v>
      </c>
      <c r="B58">
        <v>117.9</v>
      </c>
      <c r="D58" s="2">
        <v>39753</v>
      </c>
      <c r="E58">
        <v>216</v>
      </c>
      <c r="G58" s="2">
        <v>39753</v>
      </c>
      <c r="H58" s="3">
        <v>212.42500000000001</v>
      </c>
      <c r="J58" s="2">
        <v>39753</v>
      </c>
      <c r="K58">
        <v>107.9</v>
      </c>
    </row>
    <row r="59" spans="1:11">
      <c r="A59" s="2">
        <v>39722</v>
      </c>
      <c r="B59">
        <v>118.42</v>
      </c>
      <c r="D59" s="2">
        <v>39722</v>
      </c>
      <c r="E59">
        <v>217.7</v>
      </c>
      <c r="G59" s="2">
        <v>39722</v>
      </c>
      <c r="H59" s="3">
        <v>216.57300000000001</v>
      </c>
      <c r="J59" s="2">
        <v>39722</v>
      </c>
      <c r="K59">
        <v>108.45</v>
      </c>
    </row>
    <row r="60" spans="1:11">
      <c r="A60" s="2">
        <v>39692</v>
      </c>
      <c r="B60">
        <v>118.44</v>
      </c>
      <c r="D60" s="2">
        <v>39692</v>
      </c>
      <c r="E60">
        <v>218.4</v>
      </c>
      <c r="G60" s="2">
        <v>39692</v>
      </c>
      <c r="H60" s="3">
        <v>218.78299999999999</v>
      </c>
      <c r="J60" s="2">
        <v>39692</v>
      </c>
      <c r="K60">
        <v>108.42</v>
      </c>
    </row>
    <row r="61" spans="1:11">
      <c r="A61" s="2">
        <v>39661</v>
      </c>
      <c r="B61">
        <v>118.46</v>
      </c>
      <c r="D61" s="2">
        <v>39661</v>
      </c>
      <c r="E61">
        <v>217.2</v>
      </c>
      <c r="G61" s="2">
        <v>39661</v>
      </c>
      <c r="H61" s="3">
        <v>219.08600000000001</v>
      </c>
      <c r="J61" s="2">
        <v>39661</v>
      </c>
      <c r="K61">
        <v>108.22</v>
      </c>
    </row>
    <row r="62" spans="1:11">
      <c r="A62" s="2">
        <v>39630</v>
      </c>
      <c r="B62">
        <v>118.51</v>
      </c>
      <c r="D62" s="2">
        <v>39630</v>
      </c>
      <c r="E62">
        <v>216.5</v>
      </c>
      <c r="G62" s="2">
        <v>39630</v>
      </c>
      <c r="H62" s="3">
        <v>219.964</v>
      </c>
      <c r="J62" s="2">
        <v>39630</v>
      </c>
      <c r="K62">
        <v>108.38</v>
      </c>
    </row>
    <row r="63" spans="1:11">
      <c r="A63" s="2">
        <v>39600</v>
      </c>
      <c r="B63">
        <v>118.78</v>
      </c>
      <c r="D63" s="2">
        <v>39600</v>
      </c>
      <c r="E63">
        <v>216.8</v>
      </c>
      <c r="G63" s="2">
        <v>39600</v>
      </c>
      <c r="H63" s="3">
        <v>218.815</v>
      </c>
      <c r="J63" s="2">
        <v>39600</v>
      </c>
      <c r="K63">
        <v>108.56</v>
      </c>
    </row>
    <row r="64" spans="1:11">
      <c r="A64" s="2">
        <v>39569</v>
      </c>
      <c r="B64">
        <v>118.38</v>
      </c>
      <c r="D64" s="2">
        <v>39569</v>
      </c>
      <c r="E64">
        <v>215.1</v>
      </c>
      <c r="G64" s="2">
        <v>39569</v>
      </c>
      <c r="H64" s="3">
        <v>216.63200000000001</v>
      </c>
      <c r="J64" s="2">
        <v>39569</v>
      </c>
      <c r="K64">
        <v>108.14</v>
      </c>
    </row>
    <row r="65" spans="1:11">
      <c r="A65" s="2">
        <v>39539</v>
      </c>
      <c r="B65">
        <v>117.75</v>
      </c>
      <c r="D65" s="2">
        <v>39539</v>
      </c>
      <c r="E65">
        <v>214</v>
      </c>
      <c r="G65" s="2">
        <v>39539</v>
      </c>
      <c r="H65" s="3">
        <v>214.82300000000001</v>
      </c>
      <c r="J65" s="2">
        <v>39539</v>
      </c>
      <c r="K65">
        <v>107.46</v>
      </c>
    </row>
    <row r="66" spans="1:11">
      <c r="A66" s="2">
        <v>39508</v>
      </c>
      <c r="B66">
        <v>117.35</v>
      </c>
      <c r="D66" s="2">
        <v>39508</v>
      </c>
      <c r="E66">
        <v>212.1</v>
      </c>
      <c r="G66" s="2">
        <v>39508</v>
      </c>
      <c r="H66" s="3">
        <v>213.52799999999999</v>
      </c>
      <c r="J66" s="2">
        <v>39508</v>
      </c>
      <c r="K66">
        <v>107.11</v>
      </c>
    </row>
    <row r="67" spans="1:11">
      <c r="A67" s="2">
        <v>39479</v>
      </c>
      <c r="B67">
        <v>116.47</v>
      </c>
      <c r="D67" s="2">
        <v>39479</v>
      </c>
      <c r="E67">
        <v>211.4</v>
      </c>
      <c r="G67" s="2">
        <v>39479</v>
      </c>
      <c r="H67" s="3">
        <v>211.69300000000001</v>
      </c>
      <c r="J67" s="2">
        <v>39479</v>
      </c>
      <c r="K67">
        <v>106.05</v>
      </c>
    </row>
    <row r="68" spans="1:11">
      <c r="A68" s="2">
        <v>39448</v>
      </c>
      <c r="B68">
        <v>116.25</v>
      </c>
      <c r="D68" s="2">
        <v>39448</v>
      </c>
      <c r="E68">
        <v>209.8</v>
      </c>
      <c r="G68" s="2">
        <v>39448</v>
      </c>
      <c r="H68" s="3">
        <v>211.08</v>
      </c>
      <c r="J68" s="2">
        <v>39448</v>
      </c>
      <c r="K68">
        <v>105.68</v>
      </c>
    </row>
    <row r="69" spans="1:11">
      <c r="A69" s="2">
        <v>39417</v>
      </c>
      <c r="B69">
        <v>116.36</v>
      </c>
      <c r="D69" s="2">
        <v>39417</v>
      </c>
      <c r="E69">
        <v>210.9</v>
      </c>
      <c r="G69" s="2">
        <v>39417</v>
      </c>
      <c r="H69" s="3">
        <v>210.036</v>
      </c>
      <c r="J69" s="2">
        <v>39417</v>
      </c>
      <c r="K69">
        <v>106.12</v>
      </c>
    </row>
    <row r="70" spans="1:11">
      <c r="A70" s="2">
        <v>39387</v>
      </c>
      <c r="B70">
        <v>115.93</v>
      </c>
      <c r="D70" s="2">
        <v>39387</v>
      </c>
      <c r="E70">
        <v>209.7</v>
      </c>
      <c r="G70" s="2">
        <v>39387</v>
      </c>
      <c r="H70" s="3">
        <v>210.17699999999999</v>
      </c>
      <c r="J70" s="2">
        <v>39387</v>
      </c>
      <c r="K70">
        <v>105.69</v>
      </c>
    </row>
    <row r="71" spans="1:11">
      <c r="A71" s="2">
        <v>39356</v>
      </c>
      <c r="B71">
        <v>115.36</v>
      </c>
      <c r="D71" s="2">
        <v>39356</v>
      </c>
      <c r="E71">
        <v>208.9</v>
      </c>
      <c r="G71" s="2">
        <v>39356</v>
      </c>
      <c r="H71" s="3">
        <v>208.93600000000001</v>
      </c>
      <c r="J71" s="2">
        <v>39356</v>
      </c>
      <c r="K71">
        <v>105.12</v>
      </c>
    </row>
    <row r="72" spans="1:11">
      <c r="A72" s="2">
        <v>39326</v>
      </c>
      <c r="B72">
        <v>115.03</v>
      </c>
      <c r="D72" s="2">
        <v>39326</v>
      </c>
      <c r="E72">
        <v>208</v>
      </c>
      <c r="G72" s="2">
        <v>39326</v>
      </c>
      <c r="H72" s="3">
        <v>208.49</v>
      </c>
      <c r="J72" s="2">
        <v>39326</v>
      </c>
      <c r="K72">
        <v>104.59</v>
      </c>
    </row>
    <row r="73" spans="1:11">
      <c r="A73" s="2">
        <v>39295</v>
      </c>
      <c r="B73">
        <v>114.89</v>
      </c>
      <c r="D73" s="2">
        <v>39295</v>
      </c>
      <c r="E73">
        <v>207.3</v>
      </c>
      <c r="G73" s="2">
        <v>39295</v>
      </c>
      <c r="H73" s="3">
        <v>207.917</v>
      </c>
      <c r="J73" s="2">
        <v>39295</v>
      </c>
      <c r="K73">
        <v>104.19</v>
      </c>
    </row>
    <row r="74" spans="1:11">
      <c r="A74" s="2">
        <v>39264</v>
      </c>
      <c r="B74">
        <v>114.53</v>
      </c>
      <c r="D74" s="2">
        <v>39264</v>
      </c>
      <c r="E74">
        <v>206.1</v>
      </c>
      <c r="G74" s="2">
        <v>39264</v>
      </c>
      <c r="H74" s="3">
        <v>208.29900000000001</v>
      </c>
      <c r="J74" s="2">
        <v>39264</v>
      </c>
      <c r="K74">
        <v>104.14</v>
      </c>
    </row>
    <row r="75" spans="1:11">
      <c r="A75" s="2">
        <v>39234</v>
      </c>
      <c r="B75">
        <v>114.86</v>
      </c>
      <c r="D75" s="2">
        <v>39234</v>
      </c>
      <c r="E75">
        <v>207.3</v>
      </c>
      <c r="G75" s="2">
        <v>39234</v>
      </c>
      <c r="H75" s="3">
        <v>208.352</v>
      </c>
      <c r="J75" s="2">
        <v>39234</v>
      </c>
      <c r="K75">
        <v>104.41</v>
      </c>
    </row>
    <row r="76" spans="1:11">
      <c r="A76" s="2">
        <v>39203</v>
      </c>
      <c r="B76">
        <v>114.71</v>
      </c>
      <c r="D76" s="2">
        <v>39203</v>
      </c>
      <c r="E76">
        <v>206.2</v>
      </c>
      <c r="G76" s="2">
        <v>39203</v>
      </c>
      <c r="H76" s="3">
        <v>207.94900000000001</v>
      </c>
      <c r="J76" s="2">
        <v>39203</v>
      </c>
      <c r="K76">
        <v>104.3</v>
      </c>
    </row>
    <row r="77" spans="1:11">
      <c r="A77" s="2">
        <v>39173</v>
      </c>
      <c r="B77">
        <v>114.44</v>
      </c>
      <c r="D77" s="2">
        <v>39173</v>
      </c>
      <c r="E77">
        <v>205.4</v>
      </c>
      <c r="G77" s="2">
        <v>39173</v>
      </c>
      <c r="H77" s="3">
        <v>206.68600000000001</v>
      </c>
      <c r="J77" s="2">
        <v>39173</v>
      </c>
      <c r="K77">
        <v>104.05</v>
      </c>
    </row>
    <row r="78" spans="1:11">
      <c r="A78" s="2">
        <v>39142</v>
      </c>
      <c r="B78">
        <v>113.89</v>
      </c>
      <c r="D78" s="2">
        <v>39142</v>
      </c>
      <c r="E78">
        <v>204.4</v>
      </c>
      <c r="G78" s="2">
        <v>39142</v>
      </c>
      <c r="H78" s="3">
        <v>205.352</v>
      </c>
      <c r="J78" s="2">
        <v>39142</v>
      </c>
      <c r="K78">
        <v>103.39</v>
      </c>
    </row>
    <row r="79" spans="1:11">
      <c r="A79" s="2">
        <v>39114</v>
      </c>
      <c r="B79">
        <v>113.41</v>
      </c>
      <c r="D79" s="2">
        <v>39114</v>
      </c>
      <c r="E79">
        <v>203.1</v>
      </c>
      <c r="G79" s="2">
        <v>39114</v>
      </c>
      <c r="H79" s="3">
        <v>203.499</v>
      </c>
      <c r="J79" s="2">
        <v>39114</v>
      </c>
      <c r="K79">
        <v>102.69</v>
      </c>
    </row>
    <row r="80" spans="1:11">
      <c r="A80" s="2">
        <v>39083</v>
      </c>
      <c r="B80">
        <v>113.21</v>
      </c>
      <c r="D80" s="2">
        <v>39083</v>
      </c>
      <c r="E80">
        <v>201.6</v>
      </c>
      <c r="G80" s="2">
        <v>39083</v>
      </c>
      <c r="H80" s="3">
        <v>202.416</v>
      </c>
      <c r="J80" s="2">
        <v>39083</v>
      </c>
      <c r="K80">
        <v>102.4</v>
      </c>
    </row>
    <row r="81" spans="1:11">
      <c r="A81" s="2">
        <v>39052</v>
      </c>
      <c r="B81">
        <v>113.57</v>
      </c>
      <c r="D81" s="2">
        <v>39052</v>
      </c>
      <c r="E81">
        <v>202.7</v>
      </c>
      <c r="G81" s="2">
        <v>39052</v>
      </c>
      <c r="H81" s="3">
        <v>201.8</v>
      </c>
      <c r="J81" s="2">
        <v>39052</v>
      </c>
      <c r="K81">
        <v>102.96</v>
      </c>
    </row>
    <row r="82" spans="1:11">
      <c r="A82" s="2">
        <v>39022</v>
      </c>
      <c r="B82">
        <v>113.32</v>
      </c>
      <c r="D82" s="2">
        <v>39022</v>
      </c>
      <c r="E82">
        <v>201.1</v>
      </c>
      <c r="G82" s="2">
        <v>39022</v>
      </c>
      <c r="H82" s="3">
        <v>201.5</v>
      </c>
      <c r="J82" s="2">
        <v>39022</v>
      </c>
      <c r="K82">
        <v>102.56</v>
      </c>
    </row>
    <row r="83" spans="1:11">
      <c r="A83" s="2">
        <v>38991</v>
      </c>
      <c r="B83">
        <v>113.16</v>
      </c>
      <c r="D83" s="2">
        <v>38991</v>
      </c>
      <c r="E83">
        <v>200.4</v>
      </c>
      <c r="G83" s="2">
        <v>38991</v>
      </c>
      <c r="H83" s="3">
        <v>201.8</v>
      </c>
      <c r="J83" s="2">
        <v>38991</v>
      </c>
      <c r="K83">
        <v>102.52</v>
      </c>
    </row>
    <row r="84" spans="1:11">
      <c r="A84" s="2">
        <v>38961</v>
      </c>
      <c r="B84">
        <v>113.35</v>
      </c>
      <c r="D84" s="2">
        <v>38961</v>
      </c>
      <c r="E84">
        <v>200.1</v>
      </c>
      <c r="G84" s="2">
        <v>38961</v>
      </c>
      <c r="H84" s="3">
        <v>202.9</v>
      </c>
      <c r="J84" s="2">
        <v>38961</v>
      </c>
      <c r="K84">
        <v>102.48</v>
      </c>
    </row>
    <row r="85" spans="1:11">
      <c r="A85" s="2">
        <v>38930</v>
      </c>
      <c r="B85">
        <v>113.52</v>
      </c>
      <c r="D85" s="2">
        <v>38930</v>
      </c>
      <c r="E85">
        <v>199.2</v>
      </c>
      <c r="G85" s="2">
        <v>38930</v>
      </c>
      <c r="H85" s="3">
        <v>203.9</v>
      </c>
      <c r="J85" s="2">
        <v>38930</v>
      </c>
      <c r="K85">
        <v>102.48</v>
      </c>
    </row>
    <row r="86" spans="1:11">
      <c r="A86" s="2">
        <v>38899</v>
      </c>
      <c r="B86">
        <v>113.16</v>
      </c>
      <c r="D86" s="2">
        <v>38899</v>
      </c>
      <c r="E86">
        <v>198.5</v>
      </c>
      <c r="G86" s="2">
        <v>38899</v>
      </c>
      <c r="H86" s="3">
        <v>203.5</v>
      </c>
      <c r="J86" s="2">
        <v>38899</v>
      </c>
      <c r="K86">
        <v>102.38</v>
      </c>
    </row>
    <row r="87" spans="1:11">
      <c r="A87" s="2">
        <v>38869</v>
      </c>
      <c r="B87">
        <v>113.38</v>
      </c>
      <c r="D87" s="2">
        <v>38869</v>
      </c>
      <c r="E87">
        <v>198.5</v>
      </c>
      <c r="G87" s="2">
        <v>38869</v>
      </c>
      <c r="H87" s="3">
        <v>202.9</v>
      </c>
      <c r="J87" s="2">
        <v>38869</v>
      </c>
      <c r="K87">
        <v>102.53</v>
      </c>
    </row>
    <row r="88" spans="1:11">
      <c r="A88" s="2">
        <v>38838</v>
      </c>
      <c r="B88">
        <v>113.36</v>
      </c>
      <c r="D88" s="2">
        <v>38838</v>
      </c>
      <c r="E88">
        <v>197.7</v>
      </c>
      <c r="G88" s="2">
        <v>38838</v>
      </c>
      <c r="H88" s="3">
        <v>202.5</v>
      </c>
      <c r="J88" s="2">
        <v>38838</v>
      </c>
      <c r="K88">
        <v>102.46</v>
      </c>
    </row>
    <row r="89" spans="1:11">
      <c r="A89" s="2">
        <v>38808</v>
      </c>
      <c r="B89">
        <v>112.9</v>
      </c>
      <c r="D89" s="2">
        <v>38808</v>
      </c>
      <c r="E89">
        <v>196.5</v>
      </c>
      <c r="G89" s="2">
        <v>38808</v>
      </c>
      <c r="H89" s="3">
        <v>201.5</v>
      </c>
      <c r="J89" s="2">
        <v>38808</v>
      </c>
      <c r="K89">
        <v>102.18</v>
      </c>
    </row>
    <row r="90" spans="1:11">
      <c r="A90" s="2">
        <v>38777</v>
      </c>
      <c r="B90">
        <v>112.46</v>
      </c>
      <c r="D90" s="2">
        <v>38777</v>
      </c>
      <c r="E90">
        <v>195</v>
      </c>
      <c r="G90" s="2">
        <v>38777</v>
      </c>
      <c r="H90" s="3">
        <v>199.8</v>
      </c>
      <c r="J90" s="2">
        <v>38777</v>
      </c>
      <c r="K90">
        <v>101.49</v>
      </c>
    </row>
    <row r="91" spans="1:11">
      <c r="A91" s="2">
        <v>38749</v>
      </c>
      <c r="B91">
        <v>112.11</v>
      </c>
      <c r="D91" s="2">
        <v>38749</v>
      </c>
      <c r="E91">
        <v>194.2</v>
      </c>
      <c r="G91" s="2">
        <v>38749</v>
      </c>
      <c r="H91" s="3">
        <v>198.7</v>
      </c>
      <c r="J91" s="2">
        <v>38749</v>
      </c>
      <c r="K91">
        <v>100.91</v>
      </c>
    </row>
    <row r="92" spans="1:11">
      <c r="A92" s="2">
        <v>38718</v>
      </c>
      <c r="B92">
        <v>111.69</v>
      </c>
      <c r="D92" s="2">
        <v>38718</v>
      </c>
      <c r="E92">
        <v>193.4</v>
      </c>
      <c r="G92" s="2">
        <v>38718</v>
      </c>
      <c r="H92" s="3">
        <v>198.3</v>
      </c>
      <c r="J92" s="2">
        <v>38718</v>
      </c>
      <c r="K92">
        <v>100.63</v>
      </c>
    </row>
    <row r="93" spans="1:11">
      <c r="A93" s="2">
        <v>38687</v>
      </c>
      <c r="B93">
        <v>111.8</v>
      </c>
      <c r="D93" s="2">
        <v>38687</v>
      </c>
      <c r="E93">
        <v>194.1</v>
      </c>
      <c r="G93" s="2">
        <v>38687</v>
      </c>
      <c r="H93" s="3">
        <v>196.8</v>
      </c>
      <c r="J93" s="2">
        <v>38687</v>
      </c>
      <c r="K93">
        <v>101.1</v>
      </c>
    </row>
    <row r="94" spans="1:11">
      <c r="A94" s="2">
        <v>38657</v>
      </c>
      <c r="B94">
        <v>111.6</v>
      </c>
      <c r="D94" s="2">
        <v>38657</v>
      </c>
      <c r="E94">
        <v>193.6</v>
      </c>
      <c r="G94" s="2">
        <v>38657</v>
      </c>
      <c r="H94" s="3">
        <v>197.6</v>
      </c>
      <c r="J94" s="2">
        <v>38657</v>
      </c>
      <c r="K94">
        <v>100.74</v>
      </c>
    </row>
    <row r="95" spans="1:11">
      <c r="A95" s="2">
        <v>38626</v>
      </c>
      <c r="B95">
        <v>111.8</v>
      </c>
      <c r="D95" s="2">
        <v>38626</v>
      </c>
      <c r="E95">
        <v>193.3</v>
      </c>
      <c r="G95" s="2">
        <v>38626</v>
      </c>
      <c r="H95" s="3">
        <v>199.2</v>
      </c>
      <c r="J95" s="2">
        <v>38626</v>
      </c>
      <c r="K95">
        <v>100.96</v>
      </c>
    </row>
    <row r="96" spans="1:11">
      <c r="A96" s="2">
        <v>38596</v>
      </c>
      <c r="B96">
        <v>111.8</v>
      </c>
      <c r="D96" s="2">
        <v>38596</v>
      </c>
      <c r="E96">
        <v>193.1</v>
      </c>
      <c r="G96" s="2">
        <v>38596</v>
      </c>
      <c r="H96" s="3">
        <v>198.8</v>
      </c>
      <c r="J96" s="2">
        <v>38596</v>
      </c>
      <c r="K96">
        <v>100.72</v>
      </c>
    </row>
    <row r="97" spans="1:11">
      <c r="A97" s="2">
        <v>38565</v>
      </c>
      <c r="B97">
        <v>111.4</v>
      </c>
      <c r="D97" s="2">
        <v>38565</v>
      </c>
      <c r="E97">
        <v>192.6</v>
      </c>
      <c r="G97" s="2">
        <v>38565</v>
      </c>
      <c r="H97" s="3">
        <v>196.4</v>
      </c>
      <c r="J97" s="2">
        <v>38565</v>
      </c>
      <c r="K97">
        <v>100.23</v>
      </c>
    </row>
    <row r="98" spans="1:11">
      <c r="A98" s="2">
        <v>38534</v>
      </c>
      <c r="B98">
        <v>111</v>
      </c>
      <c r="D98" s="2">
        <v>38534</v>
      </c>
      <c r="E98">
        <v>192.2</v>
      </c>
      <c r="G98" s="2">
        <v>38534</v>
      </c>
      <c r="H98" s="3">
        <v>195.4</v>
      </c>
      <c r="J98" s="2">
        <v>38534</v>
      </c>
      <c r="K98">
        <v>100</v>
      </c>
    </row>
    <row r="99" spans="1:11">
      <c r="A99" s="2">
        <v>38504</v>
      </c>
      <c r="B99">
        <v>111.3</v>
      </c>
      <c r="D99" s="2">
        <v>38504</v>
      </c>
      <c r="E99">
        <v>192.2</v>
      </c>
      <c r="G99" s="2">
        <v>38504</v>
      </c>
      <c r="H99" s="3">
        <v>194.5</v>
      </c>
      <c r="J99" s="2">
        <v>38504</v>
      </c>
      <c r="K99">
        <v>100.12</v>
      </c>
    </row>
    <row r="100" spans="1:11">
      <c r="A100" s="2">
        <v>38473</v>
      </c>
      <c r="B100">
        <v>111.2</v>
      </c>
      <c r="D100" s="2">
        <v>38473</v>
      </c>
      <c r="E100">
        <v>192</v>
      </c>
      <c r="G100" s="2">
        <v>38473</v>
      </c>
      <c r="H100" s="3">
        <v>194.4</v>
      </c>
      <c r="J100" s="2">
        <v>38473</v>
      </c>
      <c r="K100">
        <v>100.01</v>
      </c>
    </row>
    <row r="101" spans="1:11">
      <c r="A101" s="2">
        <v>38443</v>
      </c>
      <c r="B101">
        <v>111.1</v>
      </c>
      <c r="D101" s="2">
        <v>38443</v>
      </c>
      <c r="E101">
        <v>191.6</v>
      </c>
      <c r="G101" s="2">
        <v>38443</v>
      </c>
      <c r="H101" s="3">
        <v>194.6</v>
      </c>
      <c r="J101" s="2">
        <v>38443</v>
      </c>
      <c r="K101">
        <v>99.81</v>
      </c>
    </row>
    <row r="102" spans="1:11">
      <c r="A102" s="2">
        <v>38412</v>
      </c>
      <c r="B102">
        <v>110.9</v>
      </c>
      <c r="D102" s="2">
        <v>38412</v>
      </c>
      <c r="E102">
        <v>190.5</v>
      </c>
      <c r="G102" s="2">
        <v>38412</v>
      </c>
      <c r="H102" s="3">
        <v>193.3</v>
      </c>
      <c r="J102" s="2">
        <v>38412</v>
      </c>
      <c r="K102">
        <v>99.39</v>
      </c>
    </row>
    <row r="103" spans="1:11">
      <c r="A103" s="2">
        <v>38384</v>
      </c>
      <c r="B103">
        <v>110.2</v>
      </c>
      <c r="D103" s="2">
        <v>38384</v>
      </c>
      <c r="E103">
        <v>189.6</v>
      </c>
      <c r="G103" s="2">
        <v>38384</v>
      </c>
      <c r="H103" s="3">
        <v>191.8</v>
      </c>
      <c r="J103" s="2">
        <v>38384</v>
      </c>
      <c r="K103">
        <v>98.63</v>
      </c>
    </row>
    <row r="104" spans="1:11">
      <c r="A104" s="2">
        <v>38353</v>
      </c>
      <c r="B104">
        <v>109.6</v>
      </c>
      <c r="D104" s="2">
        <v>38353</v>
      </c>
      <c r="E104">
        <v>188.9</v>
      </c>
      <c r="G104" s="2">
        <v>38353</v>
      </c>
      <c r="H104" s="3">
        <v>190.7</v>
      </c>
      <c r="J104" s="2">
        <v>38353</v>
      </c>
      <c r="K104">
        <v>98.29</v>
      </c>
    </row>
    <row r="105" spans="1:11">
      <c r="A105" s="2">
        <v>38322</v>
      </c>
      <c r="B105">
        <v>110.1</v>
      </c>
      <c r="D105" s="2">
        <v>38322</v>
      </c>
      <c r="E105">
        <v>189.9</v>
      </c>
      <c r="G105" s="2">
        <v>38322</v>
      </c>
      <c r="H105" s="3">
        <v>190.3</v>
      </c>
      <c r="J105" s="2">
        <v>38322</v>
      </c>
      <c r="K105">
        <v>98.92</v>
      </c>
    </row>
    <row r="106" spans="1:11">
      <c r="A106" s="2">
        <v>38292</v>
      </c>
      <c r="B106">
        <v>110</v>
      </c>
      <c r="D106" s="2">
        <v>38292</v>
      </c>
      <c r="E106">
        <v>189</v>
      </c>
      <c r="G106" s="2">
        <v>38292</v>
      </c>
      <c r="H106" s="3">
        <v>191</v>
      </c>
      <c r="J106" s="2">
        <v>38292</v>
      </c>
      <c r="K106">
        <v>98.66</v>
      </c>
    </row>
    <row r="107" spans="1:11">
      <c r="A107" s="2">
        <v>38261</v>
      </c>
      <c r="B107">
        <v>109.9</v>
      </c>
      <c r="D107" s="2">
        <v>38261</v>
      </c>
      <c r="E107">
        <v>188.6</v>
      </c>
      <c r="G107" s="2">
        <v>38261</v>
      </c>
      <c r="H107" s="3">
        <v>190.9</v>
      </c>
      <c r="J107" s="2">
        <v>38261</v>
      </c>
      <c r="K107">
        <v>98.73</v>
      </c>
    </row>
    <row r="108" spans="1:11">
      <c r="A108" s="2">
        <v>38231</v>
      </c>
      <c r="B108">
        <v>109.6</v>
      </c>
      <c r="D108" s="2">
        <v>38231</v>
      </c>
      <c r="E108">
        <v>188.1</v>
      </c>
      <c r="G108" s="2">
        <v>38231</v>
      </c>
      <c r="H108" s="3">
        <v>189.9</v>
      </c>
      <c r="J108" s="2">
        <v>38231</v>
      </c>
      <c r="K108">
        <v>98.33</v>
      </c>
    </row>
    <row r="109" spans="1:11">
      <c r="A109" s="2">
        <v>38200</v>
      </c>
      <c r="B109">
        <v>109.5</v>
      </c>
      <c r="D109" s="2">
        <v>38200</v>
      </c>
      <c r="E109">
        <v>187.4</v>
      </c>
      <c r="G109" s="2">
        <v>38200</v>
      </c>
      <c r="H109" s="3">
        <v>189.5</v>
      </c>
      <c r="J109" s="2">
        <v>38200</v>
      </c>
      <c r="K109">
        <v>98.2</v>
      </c>
    </row>
    <row r="110" spans="1:11">
      <c r="A110" s="2">
        <v>38169</v>
      </c>
      <c r="B110">
        <v>109.3</v>
      </c>
      <c r="D110" s="2">
        <v>38169</v>
      </c>
      <c r="E110">
        <v>186.8</v>
      </c>
      <c r="G110" s="2">
        <v>38169</v>
      </c>
      <c r="H110" s="3">
        <v>189.4</v>
      </c>
      <c r="J110" s="2">
        <v>38169</v>
      </c>
      <c r="K110">
        <v>98.01</v>
      </c>
    </row>
    <row r="111" spans="1:11">
      <c r="A111" s="2">
        <v>38139</v>
      </c>
      <c r="B111">
        <v>109.6</v>
      </c>
      <c r="D111" s="2">
        <v>38139</v>
      </c>
      <c r="E111">
        <v>186.8</v>
      </c>
      <c r="G111" s="2">
        <v>38139</v>
      </c>
      <c r="H111" s="3">
        <v>189.7</v>
      </c>
      <c r="J111" s="2">
        <v>38139</v>
      </c>
      <c r="K111">
        <v>98.24</v>
      </c>
    </row>
    <row r="112" spans="1:11">
      <c r="A112" s="2">
        <v>38108</v>
      </c>
      <c r="B112">
        <v>109.5</v>
      </c>
      <c r="D112" s="2">
        <v>38108</v>
      </c>
      <c r="E112">
        <v>186.5</v>
      </c>
      <c r="G112" s="2">
        <v>38108</v>
      </c>
      <c r="H112" s="3">
        <v>189.1</v>
      </c>
      <c r="J112" s="2">
        <v>38108</v>
      </c>
      <c r="K112">
        <v>98.19</v>
      </c>
    </row>
    <row r="113" spans="1:11">
      <c r="A113" s="2">
        <v>38078</v>
      </c>
      <c r="B113">
        <v>109.1</v>
      </c>
      <c r="D113" s="2">
        <v>38078</v>
      </c>
      <c r="E113">
        <v>185.7</v>
      </c>
      <c r="G113" s="2">
        <v>38078</v>
      </c>
      <c r="H113" s="3">
        <v>188</v>
      </c>
      <c r="J113" s="2">
        <v>38078</v>
      </c>
      <c r="K113">
        <v>97.87</v>
      </c>
    </row>
    <row r="114" spans="1:11">
      <c r="A114" s="2">
        <v>38047</v>
      </c>
      <c r="B114">
        <v>108.9</v>
      </c>
      <c r="D114" s="2">
        <v>38047</v>
      </c>
      <c r="E114">
        <v>184.6</v>
      </c>
      <c r="G114" s="2">
        <v>38047</v>
      </c>
      <c r="H114" s="3">
        <v>187.4</v>
      </c>
      <c r="J114" s="2">
        <v>38047</v>
      </c>
      <c r="K114">
        <v>97.39</v>
      </c>
    </row>
    <row r="115" spans="1:11">
      <c r="A115" s="2">
        <v>38018</v>
      </c>
      <c r="B115">
        <v>108.4</v>
      </c>
      <c r="D115" s="2">
        <v>38018</v>
      </c>
      <c r="E115">
        <v>183.8</v>
      </c>
      <c r="G115" s="2">
        <v>38018</v>
      </c>
      <c r="H115" s="3">
        <v>186.2</v>
      </c>
      <c r="J115" s="2">
        <v>38018</v>
      </c>
      <c r="K115">
        <v>96.9</v>
      </c>
    </row>
    <row r="116" spans="1:11">
      <c r="A116" s="2">
        <v>37987</v>
      </c>
      <c r="B116">
        <v>108</v>
      </c>
      <c r="D116" s="2">
        <v>37987</v>
      </c>
      <c r="E116">
        <v>183.1</v>
      </c>
      <c r="G116" s="2">
        <v>37987</v>
      </c>
      <c r="H116" s="3">
        <v>185.2</v>
      </c>
      <c r="J116" s="2">
        <v>37987</v>
      </c>
      <c r="K116">
        <v>96.65</v>
      </c>
    </row>
    <row r="117" spans="1:11">
      <c r="A117" s="2">
        <v>37956</v>
      </c>
      <c r="B117">
        <v>108.2</v>
      </c>
      <c r="D117" s="2">
        <v>37956</v>
      </c>
      <c r="E117">
        <v>183.5</v>
      </c>
      <c r="G117" s="2">
        <v>37956</v>
      </c>
      <c r="H117" s="3">
        <v>184.3</v>
      </c>
      <c r="J117" s="2">
        <v>37956</v>
      </c>
      <c r="K117">
        <v>96.95</v>
      </c>
    </row>
    <row r="118" spans="1:11">
      <c r="A118" s="2">
        <v>37926</v>
      </c>
      <c r="B118">
        <v>108</v>
      </c>
      <c r="D118" s="2">
        <v>37926</v>
      </c>
      <c r="E118">
        <v>182.7</v>
      </c>
      <c r="G118" s="2">
        <v>37926</v>
      </c>
      <c r="H118" s="3">
        <v>184.5</v>
      </c>
      <c r="J118" s="2">
        <v>37926</v>
      </c>
      <c r="K118">
        <v>96.65</v>
      </c>
    </row>
    <row r="119" spans="1:11">
      <c r="A119" s="2">
        <v>37895</v>
      </c>
      <c r="B119">
        <v>108.2</v>
      </c>
      <c r="D119" s="2">
        <v>37895</v>
      </c>
      <c r="E119">
        <v>182.6</v>
      </c>
      <c r="G119" s="2">
        <v>37895</v>
      </c>
      <c r="H119" s="3">
        <v>185</v>
      </c>
      <c r="J119" s="2">
        <v>37895</v>
      </c>
      <c r="K119">
        <v>96.65</v>
      </c>
    </row>
    <row r="120" spans="1:11">
      <c r="A120" s="2">
        <v>37865</v>
      </c>
      <c r="B120">
        <v>108.1</v>
      </c>
      <c r="D120" s="2">
        <v>37865</v>
      </c>
      <c r="E120">
        <v>182.5</v>
      </c>
      <c r="G120" s="2">
        <v>37865</v>
      </c>
      <c r="H120" s="3">
        <v>185.2</v>
      </c>
      <c r="J120" s="2">
        <v>37865</v>
      </c>
      <c r="K120">
        <v>96.54</v>
      </c>
    </row>
    <row r="121" spans="1:11">
      <c r="A121" s="2">
        <v>37834</v>
      </c>
      <c r="B121">
        <v>107.7</v>
      </c>
      <c r="D121" s="2">
        <v>37834</v>
      </c>
      <c r="E121">
        <v>181.6</v>
      </c>
      <c r="G121" s="2">
        <v>37834</v>
      </c>
      <c r="H121" s="3">
        <v>184.6</v>
      </c>
      <c r="J121" s="2">
        <v>37834</v>
      </c>
      <c r="K121">
        <v>96.21</v>
      </c>
    </row>
    <row r="122" spans="1:11">
      <c r="A122" s="2">
        <v>37803</v>
      </c>
      <c r="B122">
        <v>107.5</v>
      </c>
      <c r="D122" s="2">
        <v>37803</v>
      </c>
      <c r="E122">
        <v>181.3</v>
      </c>
      <c r="G122" s="2">
        <v>37803</v>
      </c>
      <c r="H122" s="3">
        <v>183.9</v>
      </c>
      <c r="J122" s="2">
        <v>37803</v>
      </c>
      <c r="K122">
        <v>96.04</v>
      </c>
    </row>
    <row r="123" spans="1:11">
      <c r="A123" s="2">
        <v>37773</v>
      </c>
      <c r="B123">
        <v>107.6</v>
      </c>
      <c r="D123" s="2">
        <v>37773</v>
      </c>
      <c r="E123">
        <v>181.3</v>
      </c>
      <c r="G123" s="2">
        <v>37773</v>
      </c>
      <c r="H123" s="3">
        <v>183.7</v>
      </c>
      <c r="J123" s="2">
        <v>37773</v>
      </c>
      <c r="K123">
        <v>96.2</v>
      </c>
    </row>
    <row r="124" spans="1:11">
      <c r="A124" s="2">
        <v>37742</v>
      </c>
      <c r="B124">
        <v>107.3</v>
      </c>
      <c r="D124" s="2">
        <v>37742</v>
      </c>
      <c r="E124">
        <v>181.5</v>
      </c>
      <c r="G124" s="2">
        <v>37742</v>
      </c>
      <c r="H124" s="3">
        <v>183.5</v>
      </c>
      <c r="J124" s="2">
        <v>37742</v>
      </c>
      <c r="K124">
        <v>96.08</v>
      </c>
    </row>
    <row r="125" spans="1:11">
      <c r="A125" s="2">
        <v>37712</v>
      </c>
      <c r="B125">
        <v>107.4</v>
      </c>
      <c r="D125" s="2">
        <v>37712</v>
      </c>
      <c r="E125">
        <v>181.2</v>
      </c>
      <c r="G125" s="2">
        <v>37712</v>
      </c>
      <c r="H125" s="3">
        <v>183.8</v>
      </c>
      <c r="J125" s="2">
        <v>37712</v>
      </c>
      <c r="K125">
        <v>96.14</v>
      </c>
    </row>
    <row r="126" spans="1:11">
      <c r="A126" s="2">
        <v>37681</v>
      </c>
      <c r="B126">
        <v>107.5</v>
      </c>
      <c r="D126" s="2">
        <v>37681</v>
      </c>
      <c r="E126">
        <v>179.9</v>
      </c>
      <c r="G126" s="2">
        <v>37681</v>
      </c>
      <c r="H126" s="3">
        <v>184.2</v>
      </c>
      <c r="J126" s="2">
        <v>37681</v>
      </c>
      <c r="K126">
        <v>96.03</v>
      </c>
    </row>
    <row r="127" spans="1:11">
      <c r="A127" s="2">
        <v>37653</v>
      </c>
      <c r="B127">
        <v>107.1</v>
      </c>
      <c r="D127" s="2">
        <v>37653</v>
      </c>
      <c r="E127">
        <v>179.3</v>
      </c>
      <c r="G127" s="2">
        <v>37653</v>
      </c>
      <c r="H127" s="3">
        <v>183.1</v>
      </c>
      <c r="J127" s="2">
        <v>37653</v>
      </c>
      <c r="K127">
        <v>95.47</v>
      </c>
    </row>
    <row r="128" spans="1:11">
      <c r="A128" s="2">
        <v>37622</v>
      </c>
      <c r="B128">
        <v>106.4</v>
      </c>
      <c r="D128" s="2">
        <v>37622</v>
      </c>
      <c r="E128">
        <v>178.4</v>
      </c>
      <c r="G128" s="2">
        <v>37622</v>
      </c>
      <c r="H128" s="3">
        <v>181.7</v>
      </c>
      <c r="J128" s="2">
        <v>37622</v>
      </c>
      <c r="K128">
        <v>95.09</v>
      </c>
    </row>
    <row r="129" spans="1:11">
      <c r="A129" s="2">
        <v>37591</v>
      </c>
      <c r="B129">
        <v>106.4</v>
      </c>
      <c r="D129" s="2">
        <v>37591</v>
      </c>
      <c r="E129">
        <v>178.5</v>
      </c>
      <c r="G129" s="2">
        <v>37591</v>
      </c>
      <c r="H129" s="3">
        <v>180.9</v>
      </c>
      <c r="J129" s="2">
        <v>37591</v>
      </c>
      <c r="K129">
        <v>95.27</v>
      </c>
    </row>
    <row r="130" spans="1:11">
      <c r="A130" s="2">
        <v>37561</v>
      </c>
      <c r="B130">
        <v>106.2</v>
      </c>
      <c r="D130" s="2">
        <v>37561</v>
      </c>
      <c r="E130">
        <v>178.2</v>
      </c>
      <c r="G130" s="2">
        <v>37561</v>
      </c>
      <c r="H130" s="3">
        <v>181.3</v>
      </c>
      <c r="J130" s="2">
        <v>37561</v>
      </c>
      <c r="K130">
        <v>94.83</v>
      </c>
    </row>
    <row r="131" spans="1:11">
      <c r="A131" s="2">
        <v>37530</v>
      </c>
      <c r="B131">
        <v>106.2</v>
      </c>
      <c r="D131" s="2">
        <v>37530</v>
      </c>
      <c r="E131">
        <v>177.9</v>
      </c>
      <c r="G131" s="2">
        <v>37530</v>
      </c>
      <c r="H131" s="3">
        <v>181.3</v>
      </c>
      <c r="J131" s="2">
        <v>37530</v>
      </c>
      <c r="K131">
        <v>94.89</v>
      </c>
    </row>
    <row r="132" spans="1:11">
      <c r="A132" s="2">
        <v>37500</v>
      </c>
      <c r="B132">
        <v>106</v>
      </c>
      <c r="D132" s="2">
        <v>37500</v>
      </c>
      <c r="E132">
        <v>177.6</v>
      </c>
      <c r="G132" s="2">
        <v>37500</v>
      </c>
      <c r="H132" s="3">
        <v>181</v>
      </c>
      <c r="J132" s="2">
        <v>37500</v>
      </c>
      <c r="K132">
        <v>94.67</v>
      </c>
    </row>
    <row r="133" spans="1:11">
      <c r="A133" s="2">
        <v>37469</v>
      </c>
      <c r="B133">
        <v>105.7</v>
      </c>
      <c r="D133" s="2">
        <v>37469</v>
      </c>
      <c r="E133">
        <v>176.4</v>
      </c>
      <c r="G133" s="2">
        <v>37469</v>
      </c>
      <c r="H133" s="3">
        <v>180.7</v>
      </c>
      <c r="J133" s="2">
        <v>37469</v>
      </c>
      <c r="K133">
        <v>94.41</v>
      </c>
    </row>
    <row r="134" spans="1:11">
      <c r="A134" s="2">
        <v>37438</v>
      </c>
      <c r="B134">
        <v>105.5</v>
      </c>
      <c r="D134" s="2">
        <v>37438</v>
      </c>
      <c r="E134">
        <v>175.9</v>
      </c>
      <c r="G134" s="2">
        <v>37438</v>
      </c>
      <c r="H134" s="3">
        <v>180.1</v>
      </c>
      <c r="J134" s="2">
        <v>37438</v>
      </c>
      <c r="K134">
        <v>94.36</v>
      </c>
    </row>
    <row r="135" spans="1:11">
      <c r="A135" s="2">
        <v>37408</v>
      </c>
      <c r="B135">
        <v>105.6</v>
      </c>
      <c r="D135" s="2">
        <v>37408</v>
      </c>
      <c r="E135">
        <v>176.2</v>
      </c>
      <c r="G135" s="2">
        <v>37408</v>
      </c>
      <c r="H135" s="3">
        <v>179.9</v>
      </c>
      <c r="J135" s="2">
        <v>37408</v>
      </c>
      <c r="K135">
        <v>94.46</v>
      </c>
    </row>
    <row r="136" spans="1:11">
      <c r="A136" s="2">
        <v>37377</v>
      </c>
      <c r="B136">
        <v>105.6</v>
      </c>
      <c r="D136" s="2">
        <v>37377</v>
      </c>
      <c r="E136">
        <v>176.2</v>
      </c>
      <c r="G136" s="2">
        <v>37377</v>
      </c>
      <c r="H136" s="3">
        <v>179.8</v>
      </c>
      <c r="J136" s="2">
        <v>37377</v>
      </c>
      <c r="K136">
        <v>94.51</v>
      </c>
    </row>
    <row r="137" spans="1:11">
      <c r="A137" s="2">
        <v>37347</v>
      </c>
      <c r="B137">
        <v>105.5</v>
      </c>
      <c r="D137" s="2">
        <v>37347</v>
      </c>
      <c r="E137">
        <v>175.7</v>
      </c>
      <c r="G137" s="2">
        <v>37347</v>
      </c>
      <c r="H137" s="3">
        <v>179.8</v>
      </c>
      <c r="J137" s="2">
        <v>37347</v>
      </c>
      <c r="K137">
        <v>94.33</v>
      </c>
    </row>
    <row r="138" spans="1:11">
      <c r="A138" s="2">
        <v>37316</v>
      </c>
      <c r="B138">
        <v>105</v>
      </c>
      <c r="D138" s="2">
        <v>37316</v>
      </c>
      <c r="E138">
        <v>174.5</v>
      </c>
      <c r="G138" s="2">
        <v>37316</v>
      </c>
      <c r="H138" s="3">
        <v>178.8</v>
      </c>
      <c r="J138" s="2">
        <v>37316</v>
      </c>
      <c r="K138">
        <v>93.93</v>
      </c>
    </row>
    <row r="139" spans="1:11">
      <c r="A139" s="2">
        <v>37288</v>
      </c>
      <c r="B139">
        <v>104.6</v>
      </c>
      <c r="D139" s="2">
        <v>37288</v>
      </c>
      <c r="E139">
        <v>173.8</v>
      </c>
      <c r="G139" s="2">
        <v>37288</v>
      </c>
      <c r="H139" s="3">
        <v>177.8</v>
      </c>
      <c r="J139" s="2">
        <v>37288</v>
      </c>
      <c r="K139">
        <v>93.38</v>
      </c>
    </row>
    <row r="140" spans="1:11">
      <c r="A140" s="2">
        <v>37257</v>
      </c>
      <c r="B140">
        <v>104.4</v>
      </c>
      <c r="D140" s="2">
        <v>37257</v>
      </c>
      <c r="E140">
        <v>173.3</v>
      </c>
      <c r="G140" s="2">
        <v>37257</v>
      </c>
      <c r="H140" s="3">
        <v>177.1</v>
      </c>
      <c r="J140" s="2">
        <v>37257</v>
      </c>
      <c r="K140">
        <v>93.24</v>
      </c>
    </row>
    <row r="141" spans="1:11">
      <c r="A141" s="2">
        <v>37226</v>
      </c>
      <c r="B141">
        <v>104.2</v>
      </c>
      <c r="D141" s="2">
        <v>37226</v>
      </c>
      <c r="E141">
        <v>173.4</v>
      </c>
      <c r="G141" s="2">
        <v>37226</v>
      </c>
      <c r="H141" s="3">
        <v>176.7</v>
      </c>
      <c r="J141" s="2">
        <v>37226</v>
      </c>
      <c r="K141">
        <v>93.2</v>
      </c>
    </row>
    <row r="142" spans="1:11">
      <c r="A142" s="2">
        <v>37196</v>
      </c>
      <c r="B142">
        <v>104</v>
      </c>
      <c r="D142" s="2">
        <v>37196</v>
      </c>
      <c r="E142">
        <v>173.6</v>
      </c>
      <c r="G142" s="2">
        <v>37196</v>
      </c>
      <c r="H142" s="3">
        <v>177.4</v>
      </c>
      <c r="J142" s="2">
        <v>37196</v>
      </c>
      <c r="K142">
        <v>92.77</v>
      </c>
    </row>
    <row r="143" spans="1:11">
      <c r="A143" s="2">
        <v>37165</v>
      </c>
      <c r="B143">
        <v>104.3</v>
      </c>
      <c r="D143" s="2">
        <v>37165</v>
      </c>
      <c r="E143">
        <v>174.3</v>
      </c>
      <c r="G143" s="2">
        <v>37165</v>
      </c>
      <c r="H143" s="3">
        <v>177.7</v>
      </c>
      <c r="J143" s="2">
        <v>37165</v>
      </c>
      <c r="K143">
        <v>92.83</v>
      </c>
    </row>
    <row r="144" spans="1:11">
      <c r="A144" s="2">
        <v>37135</v>
      </c>
      <c r="B144">
        <v>104.2</v>
      </c>
      <c r="D144" s="2">
        <v>37135</v>
      </c>
      <c r="E144">
        <v>174.6</v>
      </c>
      <c r="G144" s="2">
        <v>37135</v>
      </c>
      <c r="H144" s="3">
        <v>178.3</v>
      </c>
      <c r="J144" s="2">
        <v>37135</v>
      </c>
      <c r="K144">
        <v>92.77</v>
      </c>
    </row>
    <row r="145" spans="1:11">
      <c r="A145" s="2">
        <v>37104</v>
      </c>
      <c r="B145">
        <v>103.9</v>
      </c>
      <c r="D145" s="2">
        <v>37104</v>
      </c>
      <c r="E145">
        <v>174</v>
      </c>
      <c r="G145" s="2">
        <v>37104</v>
      </c>
      <c r="H145" s="3">
        <v>177.5</v>
      </c>
      <c r="J145" s="2">
        <v>37104</v>
      </c>
      <c r="K145">
        <v>92.51</v>
      </c>
    </row>
    <row r="146" spans="1:11">
      <c r="A146" s="2">
        <v>37073</v>
      </c>
      <c r="B146">
        <v>103.9</v>
      </c>
      <c r="D146" s="2">
        <v>37073</v>
      </c>
      <c r="E146">
        <v>173.3</v>
      </c>
      <c r="G146" s="2">
        <v>37073</v>
      </c>
      <c r="H146" s="3">
        <v>177.5</v>
      </c>
      <c r="J146" s="2">
        <v>37073</v>
      </c>
      <c r="K146">
        <v>92.61</v>
      </c>
    </row>
    <row r="147" spans="1:11">
      <c r="A147" s="2">
        <v>37043</v>
      </c>
      <c r="B147">
        <v>104.2</v>
      </c>
      <c r="D147" s="2">
        <v>37043</v>
      </c>
      <c r="E147">
        <v>174.4</v>
      </c>
      <c r="G147" s="2">
        <v>37043</v>
      </c>
      <c r="H147" s="3">
        <v>178</v>
      </c>
      <c r="J147" s="2">
        <v>37043</v>
      </c>
      <c r="K147">
        <v>92.81</v>
      </c>
    </row>
    <row r="148" spans="1:11">
      <c r="A148" s="2">
        <v>37012</v>
      </c>
      <c r="B148">
        <v>104.1</v>
      </c>
      <c r="D148" s="2">
        <v>37012</v>
      </c>
      <c r="E148">
        <v>174.2</v>
      </c>
      <c r="G148" s="2">
        <v>37012</v>
      </c>
      <c r="H148" s="3">
        <v>177.7</v>
      </c>
      <c r="J148" s="2">
        <v>37012</v>
      </c>
      <c r="K148">
        <v>92.68</v>
      </c>
    </row>
    <row r="149" spans="1:11">
      <c r="A149" s="2">
        <v>36982</v>
      </c>
      <c r="B149">
        <v>103.5</v>
      </c>
      <c r="D149" s="2">
        <v>36982</v>
      </c>
      <c r="E149">
        <v>173.1</v>
      </c>
      <c r="G149" s="2">
        <v>36982</v>
      </c>
      <c r="H149" s="3">
        <v>176.9</v>
      </c>
      <c r="J149" s="2">
        <v>36982</v>
      </c>
      <c r="K149">
        <v>92.25</v>
      </c>
    </row>
    <row r="150" spans="1:11">
      <c r="A150" s="2">
        <v>36951</v>
      </c>
      <c r="B150">
        <v>103</v>
      </c>
      <c r="D150" s="2">
        <v>36951</v>
      </c>
      <c r="E150">
        <v>172.2</v>
      </c>
      <c r="G150" s="2">
        <v>36951</v>
      </c>
      <c r="H150" s="3">
        <v>176.2</v>
      </c>
      <c r="J150" s="2">
        <v>36951</v>
      </c>
      <c r="K150">
        <v>91.69</v>
      </c>
    </row>
    <row r="151" spans="1:11">
      <c r="A151" s="2">
        <v>36923</v>
      </c>
      <c r="B151">
        <v>102.5</v>
      </c>
      <c r="D151" s="2">
        <v>36923</v>
      </c>
      <c r="E151">
        <v>172</v>
      </c>
      <c r="G151" s="2">
        <v>36923</v>
      </c>
      <c r="H151" s="3">
        <v>175.8</v>
      </c>
      <c r="J151" s="2">
        <v>36923</v>
      </c>
      <c r="K151">
        <v>91.21</v>
      </c>
    </row>
    <row r="152" spans="1:11">
      <c r="A152" s="2">
        <v>36892</v>
      </c>
      <c r="B152">
        <v>102.2</v>
      </c>
      <c r="D152" s="2">
        <v>36892</v>
      </c>
      <c r="E152">
        <v>171.1</v>
      </c>
      <c r="G152" s="2">
        <v>36892</v>
      </c>
      <c r="H152" s="3">
        <v>175.1</v>
      </c>
      <c r="J152" s="2">
        <v>36892</v>
      </c>
      <c r="K152">
        <v>90.94</v>
      </c>
    </row>
    <row r="153" spans="1:11">
      <c r="A153" s="2">
        <v>36861</v>
      </c>
      <c r="B153">
        <v>102.7</v>
      </c>
      <c r="D153" s="2">
        <v>36861</v>
      </c>
      <c r="E153">
        <v>172.2</v>
      </c>
      <c r="G153" s="2">
        <v>36861</v>
      </c>
      <c r="H153" s="3">
        <v>174</v>
      </c>
      <c r="J153" s="2">
        <v>36861</v>
      </c>
      <c r="K153">
        <v>91.35</v>
      </c>
    </row>
    <row r="154" spans="1:11">
      <c r="A154" s="2">
        <v>36831</v>
      </c>
      <c r="B154">
        <v>102.8</v>
      </c>
      <c r="D154" s="2">
        <v>36831</v>
      </c>
      <c r="E154">
        <v>172.1</v>
      </c>
      <c r="G154" s="2">
        <v>36831</v>
      </c>
      <c r="H154" s="3">
        <v>174.1</v>
      </c>
      <c r="J154" s="2">
        <v>36831</v>
      </c>
      <c r="K154">
        <v>91</v>
      </c>
    </row>
    <row r="155" spans="1:11">
      <c r="A155" s="2">
        <v>36800</v>
      </c>
      <c r="B155">
        <v>102.5</v>
      </c>
      <c r="D155" s="2">
        <v>36800</v>
      </c>
      <c r="E155">
        <v>171.6</v>
      </c>
      <c r="G155" s="2">
        <v>36800</v>
      </c>
      <c r="H155" s="3">
        <v>174</v>
      </c>
      <c r="J155" s="2">
        <v>36800</v>
      </c>
      <c r="K155">
        <v>90.83</v>
      </c>
    </row>
    <row r="156" spans="1:11">
      <c r="A156" s="2">
        <v>36770</v>
      </c>
      <c r="B156">
        <v>102.6</v>
      </c>
      <c r="D156" s="2">
        <v>36770</v>
      </c>
      <c r="E156">
        <v>171.7</v>
      </c>
      <c r="G156" s="2">
        <v>36770</v>
      </c>
      <c r="H156" s="3">
        <v>173.7</v>
      </c>
      <c r="J156" s="2">
        <v>36770</v>
      </c>
      <c r="K156">
        <v>90.82</v>
      </c>
    </row>
    <row r="157" spans="1:11">
      <c r="A157" s="2">
        <v>36739</v>
      </c>
      <c r="B157">
        <v>102.1</v>
      </c>
      <c r="D157" s="2">
        <v>36739</v>
      </c>
      <c r="E157">
        <v>170.5</v>
      </c>
      <c r="G157" s="2">
        <v>36739</v>
      </c>
      <c r="H157" s="3">
        <v>172.8</v>
      </c>
      <c r="J157" s="2">
        <v>36739</v>
      </c>
      <c r="K157">
        <v>90.46</v>
      </c>
    </row>
    <row r="158" spans="1:11">
      <c r="A158" s="2">
        <v>36708</v>
      </c>
      <c r="B158">
        <v>101.9</v>
      </c>
      <c r="D158" s="2">
        <v>36708</v>
      </c>
      <c r="E158">
        <v>170.5</v>
      </c>
      <c r="G158" s="2">
        <v>36708</v>
      </c>
      <c r="H158" s="3">
        <v>172.8</v>
      </c>
      <c r="J158" s="2">
        <v>36708</v>
      </c>
      <c r="K158">
        <v>90.37</v>
      </c>
    </row>
    <row r="159" spans="1:11">
      <c r="A159" s="2">
        <v>36678</v>
      </c>
      <c r="B159">
        <v>102.1</v>
      </c>
      <c r="D159" s="2">
        <v>36678</v>
      </c>
      <c r="E159">
        <v>171.1</v>
      </c>
      <c r="G159" s="2">
        <v>36678</v>
      </c>
      <c r="H159" s="3">
        <v>172.4</v>
      </c>
      <c r="J159" s="2">
        <v>36678</v>
      </c>
      <c r="K159">
        <v>90.25</v>
      </c>
    </row>
    <row r="160" spans="1:11">
      <c r="A160" s="2">
        <v>36647</v>
      </c>
      <c r="B160">
        <v>101.9</v>
      </c>
      <c r="D160" s="2">
        <v>36647</v>
      </c>
      <c r="E160">
        <v>170.7</v>
      </c>
      <c r="G160" s="2">
        <v>36647</v>
      </c>
      <c r="H160" s="3">
        <v>171.5</v>
      </c>
      <c r="J160" s="2">
        <v>36647</v>
      </c>
      <c r="K160">
        <v>89.93</v>
      </c>
    </row>
    <row r="161" spans="1:11">
      <c r="A161" s="2">
        <v>36617</v>
      </c>
      <c r="B161">
        <v>101.7</v>
      </c>
      <c r="D161" s="2">
        <v>36617</v>
      </c>
      <c r="E161">
        <v>170.1</v>
      </c>
      <c r="G161" s="2">
        <v>36617</v>
      </c>
      <c r="H161" s="3">
        <v>171.3</v>
      </c>
      <c r="J161" s="2">
        <v>36617</v>
      </c>
      <c r="K161">
        <v>89.82</v>
      </c>
    </row>
    <row r="162" spans="1:11">
      <c r="A162" s="2">
        <v>36586</v>
      </c>
      <c r="B162">
        <v>101.7</v>
      </c>
      <c r="D162" s="2">
        <v>36586</v>
      </c>
      <c r="E162">
        <v>168.4</v>
      </c>
      <c r="G162" s="2">
        <v>36586</v>
      </c>
      <c r="H162" s="3">
        <v>171.2</v>
      </c>
      <c r="J162" s="2">
        <v>36586</v>
      </c>
      <c r="K162">
        <v>89.73</v>
      </c>
    </row>
    <row r="163" spans="1:11">
      <c r="A163" s="2">
        <v>36557</v>
      </c>
      <c r="B163">
        <v>101.2</v>
      </c>
      <c r="D163" s="2">
        <v>36557</v>
      </c>
      <c r="E163">
        <v>167.5</v>
      </c>
      <c r="G163" s="2">
        <v>36557</v>
      </c>
      <c r="H163" s="3">
        <v>169.8</v>
      </c>
      <c r="J163" s="2">
        <v>36557</v>
      </c>
      <c r="K163">
        <v>89.46</v>
      </c>
    </row>
    <row r="164" spans="1:11">
      <c r="A164" s="2">
        <v>36526</v>
      </c>
      <c r="B164">
        <v>101.1</v>
      </c>
      <c r="D164" s="2">
        <v>36526</v>
      </c>
      <c r="E164">
        <v>166.6</v>
      </c>
      <c r="G164" s="2">
        <v>36526</v>
      </c>
      <c r="H164" s="3">
        <v>168.8</v>
      </c>
      <c r="J164" s="2">
        <v>36526</v>
      </c>
      <c r="K164">
        <v>89.17</v>
      </c>
    </row>
    <row r="165" spans="1:11">
      <c r="A165" s="2">
        <v>36495</v>
      </c>
      <c r="B165">
        <v>101.2</v>
      </c>
      <c r="D165" s="2">
        <v>36495</v>
      </c>
      <c r="E165">
        <v>167.3</v>
      </c>
      <c r="G165" s="2">
        <v>36495</v>
      </c>
      <c r="H165" s="3">
        <v>168.3</v>
      </c>
      <c r="J165" s="2">
        <v>36495</v>
      </c>
      <c r="K165">
        <v>89.15</v>
      </c>
    </row>
    <row r="166" spans="1:11">
      <c r="A166" s="2">
        <v>36465</v>
      </c>
      <c r="B166">
        <v>100.8</v>
      </c>
      <c r="D166" s="2">
        <v>36465</v>
      </c>
      <c r="E166">
        <v>166.7</v>
      </c>
      <c r="G166" s="2">
        <v>36465</v>
      </c>
      <c r="H166" s="3">
        <v>168.3</v>
      </c>
      <c r="J166" s="2">
        <v>36465</v>
      </c>
      <c r="K166">
        <v>88.86</v>
      </c>
    </row>
    <row r="167" spans="1:11">
      <c r="A167" s="2">
        <v>36434</v>
      </c>
      <c r="B167">
        <v>100.8</v>
      </c>
      <c r="D167" s="2">
        <v>36434</v>
      </c>
      <c r="E167">
        <v>166.5</v>
      </c>
      <c r="G167" s="2">
        <v>36434</v>
      </c>
      <c r="H167" s="3">
        <v>168.2</v>
      </c>
      <c r="J167" s="2">
        <v>36434</v>
      </c>
      <c r="K167">
        <v>88.72</v>
      </c>
    </row>
    <row r="168" spans="1:11">
      <c r="A168" s="2">
        <v>36404</v>
      </c>
      <c r="B168">
        <v>100.7</v>
      </c>
      <c r="D168" s="2">
        <v>36404</v>
      </c>
      <c r="E168">
        <v>166.2</v>
      </c>
      <c r="G168" s="2">
        <v>36404</v>
      </c>
      <c r="H168" s="3">
        <v>167.9</v>
      </c>
      <c r="J168" s="2">
        <v>36404</v>
      </c>
      <c r="K168">
        <v>88.71</v>
      </c>
    </row>
    <row r="169" spans="1:11">
      <c r="A169" s="2">
        <v>36373</v>
      </c>
      <c r="B169">
        <v>100.5</v>
      </c>
      <c r="D169" s="2">
        <v>36373</v>
      </c>
      <c r="E169">
        <v>165.5</v>
      </c>
      <c r="G169" s="2">
        <v>36373</v>
      </c>
      <c r="H169" s="3">
        <v>167.1</v>
      </c>
      <c r="J169" s="2">
        <v>36373</v>
      </c>
      <c r="K169">
        <v>88.66</v>
      </c>
    </row>
    <row r="170" spans="1:11">
      <c r="A170" s="2">
        <v>36342</v>
      </c>
      <c r="B170">
        <v>100.3</v>
      </c>
      <c r="D170" s="2">
        <v>36342</v>
      </c>
      <c r="E170">
        <v>165.1</v>
      </c>
      <c r="G170" s="2">
        <v>36342</v>
      </c>
      <c r="H170" s="3">
        <v>166.7</v>
      </c>
      <c r="J170" s="2">
        <v>36342</v>
      </c>
      <c r="K170">
        <v>88.56</v>
      </c>
    </row>
    <row r="171" spans="1:11">
      <c r="A171" s="2">
        <v>36312</v>
      </c>
      <c r="B171">
        <v>100.6</v>
      </c>
      <c r="D171" s="2">
        <v>36312</v>
      </c>
      <c r="E171">
        <v>165.6</v>
      </c>
      <c r="G171" s="2">
        <v>36312</v>
      </c>
      <c r="H171" s="3">
        <v>166.2</v>
      </c>
      <c r="J171" s="2">
        <v>36312</v>
      </c>
      <c r="K171">
        <v>88.42</v>
      </c>
    </row>
    <row r="172" spans="1:11">
      <c r="A172" s="2">
        <v>36281</v>
      </c>
      <c r="B172">
        <v>100.6</v>
      </c>
      <c r="D172" s="2">
        <v>36281</v>
      </c>
      <c r="E172">
        <v>165.6</v>
      </c>
      <c r="G172" s="2">
        <v>36281</v>
      </c>
      <c r="H172" s="3">
        <v>166.2</v>
      </c>
      <c r="J172" s="2">
        <v>36281</v>
      </c>
      <c r="K172">
        <v>88.41</v>
      </c>
    </row>
    <row r="173" spans="1:11">
      <c r="A173" s="2">
        <v>36251</v>
      </c>
      <c r="B173">
        <v>100.6</v>
      </c>
      <c r="D173" s="2">
        <v>36251</v>
      </c>
      <c r="E173">
        <v>165.2</v>
      </c>
      <c r="G173" s="2">
        <v>36251</v>
      </c>
      <c r="H173" s="3">
        <v>166.2</v>
      </c>
      <c r="J173" s="2">
        <v>36251</v>
      </c>
      <c r="K173">
        <v>88.36</v>
      </c>
    </row>
    <row r="174" spans="1:11">
      <c r="A174" s="2">
        <v>36220</v>
      </c>
      <c r="B174">
        <v>100.3</v>
      </c>
      <c r="D174" s="2">
        <v>36220</v>
      </c>
      <c r="E174">
        <v>164.1</v>
      </c>
      <c r="G174" s="2">
        <v>36220</v>
      </c>
      <c r="H174" s="3">
        <v>165</v>
      </c>
      <c r="J174" s="2">
        <v>36220</v>
      </c>
      <c r="K174">
        <v>88.05</v>
      </c>
    </row>
    <row r="175" spans="1:11">
      <c r="A175" s="2">
        <v>36192</v>
      </c>
      <c r="B175">
        <v>100</v>
      </c>
      <c r="D175" s="2">
        <v>36192</v>
      </c>
      <c r="E175">
        <v>163.69999999999999</v>
      </c>
      <c r="G175" s="2">
        <v>36192</v>
      </c>
      <c r="H175" s="3">
        <v>164.5</v>
      </c>
      <c r="J175" s="2">
        <v>36192</v>
      </c>
      <c r="K175">
        <v>87.82</v>
      </c>
    </row>
    <row r="176" spans="1:11">
      <c r="A176" s="2">
        <v>36161</v>
      </c>
      <c r="B176">
        <v>99.7</v>
      </c>
      <c r="D176" s="2">
        <v>36161</v>
      </c>
      <c r="E176">
        <v>163.4</v>
      </c>
      <c r="G176" s="2">
        <v>36161</v>
      </c>
      <c r="H176" s="3">
        <v>164.3</v>
      </c>
      <c r="J176" s="2">
        <v>36161</v>
      </c>
      <c r="K176">
        <v>87.59</v>
      </c>
    </row>
    <row r="177" spans="1:11">
      <c r="A177" s="2">
        <v>36130</v>
      </c>
      <c r="B177">
        <v>100.1</v>
      </c>
      <c r="D177" s="2">
        <v>36130</v>
      </c>
      <c r="E177">
        <v>164.4</v>
      </c>
      <c r="G177" s="2">
        <v>36130</v>
      </c>
      <c r="H177" s="3">
        <v>163.9</v>
      </c>
      <c r="J177" s="2">
        <v>36130</v>
      </c>
      <c r="K177">
        <v>87.67</v>
      </c>
    </row>
    <row r="178" spans="1:11">
      <c r="A178" s="2">
        <v>36100</v>
      </c>
      <c r="B178">
        <v>100</v>
      </c>
      <c r="D178" s="2">
        <v>36100</v>
      </c>
      <c r="E178">
        <v>164.4</v>
      </c>
      <c r="G178" s="2">
        <v>36100</v>
      </c>
      <c r="H178" s="3">
        <v>164</v>
      </c>
      <c r="J178" s="2">
        <v>36100</v>
      </c>
      <c r="K178">
        <v>87.63</v>
      </c>
    </row>
    <row r="179" spans="1:11">
      <c r="A179" s="2">
        <v>36069</v>
      </c>
      <c r="B179">
        <v>100</v>
      </c>
      <c r="D179" s="2">
        <v>36069</v>
      </c>
      <c r="E179">
        <v>164.5</v>
      </c>
      <c r="G179" s="2">
        <v>36069</v>
      </c>
      <c r="H179" s="3">
        <v>164</v>
      </c>
      <c r="J179" s="2">
        <v>36069</v>
      </c>
      <c r="K179">
        <v>87.63</v>
      </c>
    </row>
    <row r="180" spans="1:11">
      <c r="A180" s="2">
        <v>36039</v>
      </c>
      <c r="B180">
        <v>100.1</v>
      </c>
      <c r="D180" s="2">
        <v>36039</v>
      </c>
      <c r="E180">
        <v>164.4</v>
      </c>
      <c r="G180" s="2">
        <v>36039</v>
      </c>
      <c r="H180" s="3">
        <v>163.6</v>
      </c>
      <c r="J180" s="2">
        <v>36039</v>
      </c>
      <c r="K180">
        <v>87.67</v>
      </c>
    </row>
    <row r="181" spans="1:11">
      <c r="A181" s="2">
        <v>36008</v>
      </c>
      <c r="B181">
        <v>100</v>
      </c>
      <c r="D181" s="2">
        <v>36008</v>
      </c>
      <c r="E181">
        <v>163.69999999999999</v>
      </c>
      <c r="G181" s="2">
        <v>36008</v>
      </c>
      <c r="H181" s="3">
        <v>163.4</v>
      </c>
      <c r="J181" s="2">
        <v>36008</v>
      </c>
      <c r="K181">
        <v>87.7</v>
      </c>
    </row>
    <row r="182" spans="1:11">
      <c r="A182" s="2">
        <v>35977</v>
      </c>
      <c r="B182">
        <v>99.9</v>
      </c>
      <c r="D182" s="2">
        <v>35977</v>
      </c>
      <c r="E182">
        <v>163</v>
      </c>
      <c r="G182" s="2">
        <v>35977</v>
      </c>
      <c r="H182" s="3">
        <v>163.19999999999999</v>
      </c>
      <c r="J182" s="2">
        <v>35977</v>
      </c>
      <c r="K182">
        <v>87.68</v>
      </c>
    </row>
    <row r="183" spans="1:11">
      <c r="A183" s="2">
        <v>35947</v>
      </c>
      <c r="B183">
        <v>100.3</v>
      </c>
      <c r="D183" s="2">
        <v>35947</v>
      </c>
      <c r="E183">
        <v>163.4</v>
      </c>
      <c r="G183" s="2">
        <v>35947</v>
      </c>
      <c r="H183" s="3">
        <v>163</v>
      </c>
      <c r="J183" s="2">
        <v>35947</v>
      </c>
      <c r="K183">
        <v>87.67</v>
      </c>
    </row>
    <row r="184" spans="1:11">
      <c r="A184" s="2">
        <v>35916</v>
      </c>
      <c r="B184">
        <v>100.2</v>
      </c>
      <c r="D184" s="2">
        <v>35916</v>
      </c>
      <c r="E184">
        <v>163.5</v>
      </c>
      <c r="G184" s="2">
        <v>35916</v>
      </c>
      <c r="H184" s="3">
        <v>162.80000000000001</v>
      </c>
      <c r="J184" s="2">
        <v>35916</v>
      </c>
      <c r="K184">
        <v>87.62</v>
      </c>
    </row>
    <row r="185" spans="1:11">
      <c r="A185" s="2">
        <v>35886</v>
      </c>
      <c r="B185">
        <v>100.2</v>
      </c>
      <c r="D185" s="2">
        <v>35886</v>
      </c>
      <c r="E185">
        <v>162.6</v>
      </c>
      <c r="G185" s="2">
        <v>35886</v>
      </c>
      <c r="H185" s="3">
        <v>162.5</v>
      </c>
      <c r="J185" s="2">
        <v>35886</v>
      </c>
      <c r="K185">
        <v>87.47</v>
      </c>
    </row>
    <row r="186" spans="1:11">
      <c r="A186" s="2">
        <v>35855</v>
      </c>
      <c r="B186">
        <v>100</v>
      </c>
      <c r="D186" s="2">
        <v>35855</v>
      </c>
      <c r="E186">
        <v>160.80000000000001</v>
      </c>
      <c r="G186" s="2">
        <v>35855</v>
      </c>
      <c r="H186" s="3">
        <v>162.19999999999999</v>
      </c>
      <c r="J186" s="2">
        <v>35855</v>
      </c>
      <c r="K186">
        <v>87.3</v>
      </c>
    </row>
    <row r="187" spans="1:11">
      <c r="A187" s="2">
        <v>35827</v>
      </c>
      <c r="B187">
        <v>99.8</v>
      </c>
      <c r="D187" s="2">
        <v>35827</v>
      </c>
      <c r="E187">
        <v>160.30000000000001</v>
      </c>
      <c r="G187" s="2">
        <v>35827</v>
      </c>
      <c r="H187" s="3">
        <v>161.9</v>
      </c>
      <c r="J187" s="2">
        <v>35827</v>
      </c>
      <c r="K187">
        <v>87.23</v>
      </c>
    </row>
    <row r="188" spans="1:11">
      <c r="A188" s="2">
        <v>35796</v>
      </c>
      <c r="B188">
        <v>99.4</v>
      </c>
      <c r="J188" s="2">
        <v>35796</v>
      </c>
      <c r="K188">
        <v>87.01</v>
      </c>
    </row>
    <row r="189" spans="1:11">
      <c r="J189" s="2">
        <v>35765</v>
      </c>
      <c r="K189">
        <v>87.1</v>
      </c>
    </row>
    <row r="190" spans="1:11">
      <c r="J190" s="2">
        <v>35735</v>
      </c>
      <c r="K190">
        <v>87</v>
      </c>
    </row>
    <row r="191" spans="1:11">
      <c r="J191" s="2">
        <v>35704</v>
      </c>
      <c r="K191">
        <v>86.88</v>
      </c>
    </row>
    <row r="192" spans="1:11">
      <c r="J192" s="2">
        <v>35674</v>
      </c>
      <c r="K192">
        <v>86.88</v>
      </c>
    </row>
    <row r="193" spans="10:11">
      <c r="J193" s="2">
        <v>35643</v>
      </c>
      <c r="K193">
        <v>86.82</v>
      </c>
    </row>
    <row r="194" spans="10:11">
      <c r="J194" s="2">
        <v>35612</v>
      </c>
      <c r="K194">
        <v>86.65</v>
      </c>
    </row>
    <row r="195" spans="10:11">
      <c r="J195" s="2">
        <v>35582</v>
      </c>
      <c r="K195">
        <v>86.56</v>
      </c>
    </row>
    <row r="196" spans="10:11">
      <c r="J196" s="2">
        <v>35551</v>
      </c>
      <c r="K196">
        <v>86.55</v>
      </c>
    </row>
    <row r="197" spans="10:11">
      <c r="J197" s="2">
        <v>35521</v>
      </c>
      <c r="K197">
        <v>86.3</v>
      </c>
    </row>
    <row r="198" spans="10:11">
      <c r="J198" s="2">
        <v>35490</v>
      </c>
      <c r="K198">
        <v>86.34</v>
      </c>
    </row>
    <row r="199" spans="10:11">
      <c r="J199" s="2">
        <v>35462</v>
      </c>
      <c r="K199">
        <v>86.29</v>
      </c>
    </row>
    <row r="200" spans="10:11">
      <c r="J200" s="2">
        <v>35431</v>
      </c>
      <c r="K200">
        <v>86.1</v>
      </c>
    </row>
    <row r="201" spans="10:11">
      <c r="J201" s="2">
        <v>35400</v>
      </c>
      <c r="K201">
        <v>85.84</v>
      </c>
    </row>
    <row r="202" spans="10:11">
      <c r="J202" s="2">
        <v>35370</v>
      </c>
      <c r="K202">
        <v>85.66</v>
      </c>
    </row>
    <row r="203" spans="10:11">
      <c r="J203" s="2">
        <v>35339</v>
      </c>
      <c r="K203">
        <v>85.67</v>
      </c>
    </row>
    <row r="204" spans="10:11">
      <c r="J204" s="2">
        <v>35309</v>
      </c>
      <c r="K204">
        <v>85.58</v>
      </c>
    </row>
    <row r="205" spans="10:11">
      <c r="J205" s="2">
        <v>35278</v>
      </c>
      <c r="K205">
        <v>85.44</v>
      </c>
    </row>
    <row r="206" spans="10:11">
      <c r="J206" s="2">
        <v>35247</v>
      </c>
      <c r="K206">
        <v>85.49</v>
      </c>
    </row>
    <row r="207" spans="10:11">
      <c r="J207" s="2">
        <v>35217</v>
      </c>
      <c r="K207">
        <v>85.47</v>
      </c>
    </row>
    <row r="208" spans="10:11">
      <c r="J208" s="2">
        <v>35186</v>
      </c>
      <c r="K208">
        <v>85.46</v>
      </c>
    </row>
    <row r="209" spans="10:11">
      <c r="J209" s="2">
        <v>35156</v>
      </c>
      <c r="K209">
        <v>85.28</v>
      </c>
    </row>
    <row r="210" spans="10:11">
      <c r="J210" s="2">
        <v>35125</v>
      </c>
      <c r="K210">
        <v>85.11</v>
      </c>
    </row>
    <row r="211" spans="10:11">
      <c r="J211" s="2">
        <v>35096</v>
      </c>
      <c r="K211">
        <v>84.81</v>
      </c>
    </row>
    <row r="212" spans="10:11">
      <c r="J212" s="2">
        <v>35065</v>
      </c>
      <c r="K212">
        <v>84.43</v>
      </c>
    </row>
    <row r="213" spans="10:11">
      <c r="J213" s="2">
        <v>35034</v>
      </c>
      <c r="K213">
        <v>84.2</v>
      </c>
    </row>
    <row r="214" spans="10:11">
      <c r="J214" s="2">
        <v>35004</v>
      </c>
      <c r="K214">
        <v>84.02</v>
      </c>
    </row>
    <row r="215" spans="10:11">
      <c r="J215" s="2">
        <v>34973</v>
      </c>
      <c r="K215">
        <v>83.9</v>
      </c>
    </row>
    <row r="216" spans="10:11">
      <c r="J216" s="2">
        <v>34943</v>
      </c>
      <c r="K216">
        <v>83.89</v>
      </c>
    </row>
    <row r="217" spans="10:11">
      <c r="J217" s="2">
        <v>34912</v>
      </c>
      <c r="K217">
        <v>83.77</v>
      </c>
    </row>
    <row r="218" spans="10:11">
      <c r="J218" s="2">
        <v>34881</v>
      </c>
      <c r="K218">
        <v>83.72</v>
      </c>
    </row>
    <row r="219" spans="10:11">
      <c r="J219" s="2">
        <v>34851</v>
      </c>
      <c r="K219">
        <v>83.63</v>
      </c>
    </row>
    <row r="220" spans="10:11">
      <c r="J220" s="2">
        <v>34820</v>
      </c>
      <c r="K220">
        <v>83.42</v>
      </c>
    </row>
    <row r="221" spans="10:11">
      <c r="J221" s="2">
        <v>34790</v>
      </c>
      <c r="K221">
        <v>83.29</v>
      </c>
    </row>
    <row r="222" spans="10:11">
      <c r="J222" s="2">
        <v>34759</v>
      </c>
      <c r="K222">
        <v>83.1</v>
      </c>
    </row>
    <row r="223" spans="10:11">
      <c r="J223" s="2">
        <v>34731</v>
      </c>
      <c r="K223">
        <v>82.84</v>
      </c>
    </row>
    <row r="224" spans="10:11">
      <c r="J224" s="2">
        <v>34700</v>
      </c>
      <c r="K224">
        <v>82.37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B2:N727"/>
  <sheetViews>
    <sheetView workbookViewId="0">
      <selection activeCell="D2" sqref="B2:D727"/>
    </sheetView>
  </sheetViews>
  <sheetFormatPr defaultRowHeight="15"/>
  <cols>
    <col min="2" max="2" width="12.5703125" bestFit="1" customWidth="1"/>
    <col min="3" max="4" width="12.7109375" bestFit="1" customWidth="1"/>
    <col min="8" max="9" width="17.85546875" bestFit="1" customWidth="1"/>
    <col min="10" max="10" width="16.7109375" bestFit="1" customWidth="1"/>
    <col min="11" max="11" width="24" bestFit="1" customWidth="1"/>
    <col min="12" max="12" width="22" bestFit="1" customWidth="1"/>
    <col min="13" max="13" width="12" bestFit="1" customWidth="1"/>
    <col min="14" max="14" width="11.7109375" bestFit="1" customWidth="1"/>
  </cols>
  <sheetData>
    <row r="2" spans="2:14">
      <c r="B2" s="13" t="s">
        <v>28</v>
      </c>
      <c r="C2" s="13" t="s">
        <v>29</v>
      </c>
      <c r="D2" s="13" t="s">
        <v>30</v>
      </c>
    </row>
    <row r="3" spans="2:14">
      <c r="B3" s="14">
        <v>36038</v>
      </c>
      <c r="C3" s="14">
        <v>35940</v>
      </c>
      <c r="D3" s="8">
        <v>35895</v>
      </c>
    </row>
    <row r="4" spans="2:14">
      <c r="B4" s="15">
        <v>36154</v>
      </c>
      <c r="C4" s="15">
        <v>36045</v>
      </c>
      <c r="D4" s="10">
        <v>35898</v>
      </c>
    </row>
    <row r="5" spans="2:14">
      <c r="B5" s="16">
        <v>36157</v>
      </c>
      <c r="C5" s="16">
        <v>36080</v>
      </c>
      <c r="D5" s="9">
        <v>35919</v>
      </c>
      <c r="G5" s="58"/>
      <c r="H5" s="59"/>
      <c r="I5" s="59"/>
      <c r="J5" s="51"/>
      <c r="N5" s="57"/>
    </row>
    <row r="6" spans="2:14">
      <c r="B6" s="15">
        <v>36161</v>
      </c>
      <c r="C6" s="15">
        <v>36110</v>
      </c>
      <c r="D6" s="10">
        <v>35940</v>
      </c>
    </row>
    <row r="7" spans="2:14">
      <c r="B7" s="16">
        <v>36525</v>
      </c>
      <c r="C7" s="16">
        <v>36125</v>
      </c>
      <c r="D7" s="9">
        <v>36038</v>
      </c>
      <c r="N7" s="100"/>
    </row>
    <row r="8" spans="2:14">
      <c r="B8" s="15">
        <v>36528</v>
      </c>
      <c r="C8" s="15">
        <v>36154</v>
      </c>
      <c r="D8" s="10">
        <v>36154</v>
      </c>
    </row>
    <row r="9" spans="2:14">
      <c r="B9" s="16">
        <v>36637</v>
      </c>
      <c r="C9" s="16">
        <v>36161</v>
      </c>
      <c r="D9" s="9">
        <v>36157</v>
      </c>
    </row>
    <row r="10" spans="2:14">
      <c r="B10" s="15">
        <v>36640</v>
      </c>
      <c r="C10" s="15">
        <v>36178</v>
      </c>
      <c r="D10" s="10">
        <v>36161</v>
      </c>
      <c r="K10" s="58"/>
    </row>
    <row r="11" spans="2:14">
      <c r="B11" s="16">
        <v>36647</v>
      </c>
      <c r="C11" s="16">
        <v>36206</v>
      </c>
      <c r="D11" s="9">
        <v>36252</v>
      </c>
      <c r="I11" s="107"/>
      <c r="J11" s="58"/>
      <c r="K11" s="107"/>
      <c r="L11" s="107"/>
      <c r="M11" s="60"/>
    </row>
    <row r="12" spans="2:14">
      <c r="B12" s="15">
        <v>36885</v>
      </c>
      <c r="C12" s="15">
        <v>36311</v>
      </c>
      <c r="D12" s="10">
        <v>36255</v>
      </c>
      <c r="J12" s="58"/>
      <c r="K12" s="108"/>
      <c r="L12" s="108"/>
      <c r="M12" s="50"/>
    </row>
    <row r="13" spans="2:14">
      <c r="B13" s="16">
        <v>36886</v>
      </c>
      <c r="C13" s="16">
        <v>36346</v>
      </c>
      <c r="D13" s="9">
        <v>36283</v>
      </c>
      <c r="I13" s="60"/>
      <c r="K13" s="107"/>
    </row>
    <row r="14" spans="2:14">
      <c r="B14" s="15">
        <v>36892</v>
      </c>
      <c r="C14" s="15">
        <v>36409</v>
      </c>
      <c r="D14" s="10">
        <v>36311</v>
      </c>
    </row>
    <row r="15" spans="2:14">
      <c r="B15" s="16">
        <v>36994</v>
      </c>
      <c r="C15" s="16">
        <v>36444</v>
      </c>
      <c r="D15" s="9">
        <v>36402</v>
      </c>
    </row>
    <row r="16" spans="2:14">
      <c r="B16" s="15">
        <v>36997</v>
      </c>
      <c r="C16" s="15">
        <v>36475</v>
      </c>
      <c r="D16" s="10">
        <v>36521</v>
      </c>
    </row>
    <row r="17" spans="2:13">
      <c r="B17" s="16">
        <v>37012</v>
      </c>
      <c r="C17" s="16">
        <v>36489</v>
      </c>
      <c r="D17" s="9">
        <v>36522</v>
      </c>
      <c r="G17" s="58"/>
      <c r="H17" s="59"/>
      <c r="I17" s="59"/>
      <c r="J17" s="51"/>
      <c r="L17" s="57"/>
      <c r="M17" s="58"/>
    </row>
    <row r="18" spans="2:13">
      <c r="B18" s="15">
        <v>37250</v>
      </c>
      <c r="C18" s="15">
        <v>36542</v>
      </c>
      <c r="D18" s="10">
        <v>36525</v>
      </c>
    </row>
    <row r="19" spans="2:13">
      <c r="B19" s="16">
        <v>37251</v>
      </c>
      <c r="C19" s="16">
        <v>36577</v>
      </c>
      <c r="D19" s="9">
        <v>36528</v>
      </c>
      <c r="J19" s="58"/>
      <c r="L19" s="107"/>
      <c r="M19" s="60"/>
    </row>
    <row r="20" spans="2:13">
      <c r="B20" s="15">
        <v>37256</v>
      </c>
      <c r="C20" s="15">
        <v>36675</v>
      </c>
      <c r="D20" s="10">
        <v>36637</v>
      </c>
      <c r="L20" s="107"/>
    </row>
    <row r="21" spans="2:13">
      <c r="B21" s="16">
        <v>37257</v>
      </c>
      <c r="C21" s="16">
        <v>36711</v>
      </c>
      <c r="D21" s="9">
        <v>36640</v>
      </c>
    </row>
    <row r="22" spans="2:13">
      <c r="B22" s="15">
        <v>37344</v>
      </c>
      <c r="C22" s="15">
        <v>36773</v>
      </c>
      <c r="D22" s="10">
        <v>36647</v>
      </c>
    </row>
    <row r="23" spans="2:13">
      <c r="B23" s="16">
        <v>37347</v>
      </c>
      <c r="C23" s="16">
        <v>36808</v>
      </c>
      <c r="D23" s="9">
        <v>36675</v>
      </c>
    </row>
    <row r="24" spans="2:13">
      <c r="B24" s="15">
        <v>37377</v>
      </c>
      <c r="C24" s="15">
        <v>36853</v>
      </c>
      <c r="D24" s="10">
        <v>36766</v>
      </c>
    </row>
    <row r="25" spans="2:13">
      <c r="B25" s="16">
        <v>37615</v>
      </c>
      <c r="C25" s="16">
        <v>36885</v>
      </c>
      <c r="D25" s="9">
        <v>36885</v>
      </c>
    </row>
    <row r="26" spans="2:13">
      <c r="B26" s="15">
        <v>37616</v>
      </c>
      <c r="C26" s="15">
        <v>36892</v>
      </c>
      <c r="D26" s="10">
        <v>36886</v>
      </c>
    </row>
    <row r="27" spans="2:13">
      <c r="B27" s="16">
        <v>37622</v>
      </c>
      <c r="C27" s="16">
        <v>36906</v>
      </c>
      <c r="D27" s="9">
        <v>36892</v>
      </c>
    </row>
    <row r="28" spans="2:13">
      <c r="B28" s="15">
        <v>37729</v>
      </c>
      <c r="C28" s="15">
        <v>36941</v>
      </c>
      <c r="D28" s="10">
        <v>36994</v>
      </c>
    </row>
    <row r="29" spans="2:13">
      <c r="B29" s="16">
        <v>37732</v>
      </c>
      <c r="C29" s="16">
        <v>37039</v>
      </c>
      <c r="D29" s="9">
        <v>36997</v>
      </c>
    </row>
    <row r="30" spans="2:13">
      <c r="B30" s="15">
        <v>37742</v>
      </c>
      <c r="C30" s="15">
        <v>37076</v>
      </c>
      <c r="D30" s="10">
        <v>37018</v>
      </c>
    </row>
    <row r="31" spans="2:13">
      <c r="B31" s="16">
        <v>37980</v>
      </c>
      <c r="C31" s="16">
        <v>37137</v>
      </c>
      <c r="D31" s="9">
        <v>37039</v>
      </c>
    </row>
    <row r="32" spans="2:13">
      <c r="B32" s="15">
        <v>37981</v>
      </c>
      <c r="C32" s="15">
        <v>37172</v>
      </c>
      <c r="D32" s="10">
        <v>37130</v>
      </c>
    </row>
    <row r="33" spans="2:4">
      <c r="B33" s="16">
        <v>37987</v>
      </c>
      <c r="C33" s="16">
        <v>37207</v>
      </c>
      <c r="D33" s="9">
        <v>37250</v>
      </c>
    </row>
    <row r="34" spans="2:4">
      <c r="B34" s="15">
        <v>38086</v>
      </c>
      <c r="C34" s="15">
        <v>37217</v>
      </c>
      <c r="D34" s="10">
        <v>37251</v>
      </c>
    </row>
    <row r="35" spans="2:4">
      <c r="B35" s="16">
        <v>38089</v>
      </c>
      <c r="C35" s="16">
        <v>37250</v>
      </c>
      <c r="D35" s="9">
        <v>37257</v>
      </c>
    </row>
    <row r="36" spans="2:4">
      <c r="B36" s="15">
        <v>38436</v>
      </c>
      <c r="C36" s="15">
        <v>37257</v>
      </c>
      <c r="D36" s="10">
        <v>37344</v>
      </c>
    </row>
    <row r="37" spans="2:4">
      <c r="B37" s="16">
        <v>38439</v>
      </c>
      <c r="C37" s="16">
        <v>37277</v>
      </c>
      <c r="D37" s="9">
        <v>37347</v>
      </c>
    </row>
    <row r="38" spans="2:4">
      <c r="B38" s="15">
        <v>38712</v>
      </c>
      <c r="C38" s="15">
        <v>37305</v>
      </c>
      <c r="D38" s="10">
        <v>37382</v>
      </c>
    </row>
    <row r="39" spans="2:4">
      <c r="B39" s="16">
        <v>38821</v>
      </c>
      <c r="C39" s="16">
        <v>37403</v>
      </c>
      <c r="D39" s="9">
        <v>37410</v>
      </c>
    </row>
    <row r="40" spans="2:4">
      <c r="B40" s="15">
        <v>38824</v>
      </c>
      <c r="C40" s="15">
        <v>37441</v>
      </c>
      <c r="D40" s="10">
        <v>37411</v>
      </c>
    </row>
    <row r="41" spans="2:4">
      <c r="B41" s="16">
        <v>38838</v>
      </c>
      <c r="C41" s="16">
        <v>37501</v>
      </c>
      <c r="D41" s="9">
        <v>37494</v>
      </c>
    </row>
    <row r="42" spans="2:4">
      <c r="B42" s="15">
        <v>39076</v>
      </c>
      <c r="C42" s="15">
        <v>37543</v>
      </c>
      <c r="D42" s="10">
        <v>37615</v>
      </c>
    </row>
    <row r="43" spans="2:4">
      <c r="B43" s="16">
        <v>39077</v>
      </c>
      <c r="C43" s="16">
        <v>37571</v>
      </c>
      <c r="D43" s="9">
        <v>37616</v>
      </c>
    </row>
    <row r="44" spans="2:4">
      <c r="B44" s="15">
        <v>39083</v>
      </c>
      <c r="C44" s="15">
        <v>37588</v>
      </c>
      <c r="D44" s="10">
        <v>37622</v>
      </c>
    </row>
    <row r="45" spans="2:4">
      <c r="B45" s="16">
        <v>39178</v>
      </c>
      <c r="C45" s="16">
        <v>37615</v>
      </c>
      <c r="D45" s="9">
        <v>37729</v>
      </c>
    </row>
    <row r="46" spans="2:4">
      <c r="B46" s="15">
        <v>39181</v>
      </c>
      <c r="C46" s="15">
        <v>37622</v>
      </c>
      <c r="D46" s="10">
        <v>37732</v>
      </c>
    </row>
    <row r="47" spans="2:4">
      <c r="B47" s="16">
        <v>39203</v>
      </c>
      <c r="C47" s="16">
        <v>37641</v>
      </c>
      <c r="D47" s="9">
        <v>37746</v>
      </c>
    </row>
    <row r="48" spans="2:4">
      <c r="B48" s="15">
        <v>39441</v>
      </c>
      <c r="C48" s="15">
        <v>37669</v>
      </c>
      <c r="D48" s="10">
        <v>37767</v>
      </c>
    </row>
    <row r="49" spans="2:4">
      <c r="B49" s="16">
        <v>39442</v>
      </c>
      <c r="C49" s="16">
        <v>37767</v>
      </c>
      <c r="D49" s="9">
        <v>37858</v>
      </c>
    </row>
    <row r="50" spans="2:4">
      <c r="B50" s="15">
        <v>39448</v>
      </c>
      <c r="C50" s="15">
        <v>37806</v>
      </c>
      <c r="D50" s="10">
        <v>37980</v>
      </c>
    </row>
    <row r="51" spans="2:4">
      <c r="B51" s="16">
        <v>39528</v>
      </c>
      <c r="C51" s="16">
        <v>37865</v>
      </c>
      <c r="D51" s="9">
        <v>37981</v>
      </c>
    </row>
    <row r="52" spans="2:4">
      <c r="B52" s="15">
        <v>39531</v>
      </c>
      <c r="C52" s="15">
        <v>37907</v>
      </c>
      <c r="D52" s="10">
        <v>37987</v>
      </c>
    </row>
    <row r="53" spans="2:4">
      <c r="B53" s="16">
        <v>39569</v>
      </c>
      <c r="C53" s="16">
        <v>37936</v>
      </c>
      <c r="D53" s="9">
        <v>38086</v>
      </c>
    </row>
    <row r="54" spans="2:4">
      <c r="B54" s="15">
        <v>39807</v>
      </c>
      <c r="C54" s="15">
        <v>37952</v>
      </c>
      <c r="D54" s="10">
        <v>38089</v>
      </c>
    </row>
    <row r="55" spans="2:4">
      <c r="B55" s="16">
        <v>39808</v>
      </c>
      <c r="C55" s="16">
        <v>37980</v>
      </c>
      <c r="D55" s="9">
        <v>38110</v>
      </c>
    </row>
    <row r="56" spans="2:4">
      <c r="B56" s="15">
        <v>39814</v>
      </c>
      <c r="C56" s="15">
        <v>37987</v>
      </c>
      <c r="D56" s="10">
        <v>38138</v>
      </c>
    </row>
    <row r="57" spans="2:4">
      <c r="B57" s="16">
        <v>39913</v>
      </c>
      <c r="C57" s="16">
        <v>38005</v>
      </c>
      <c r="D57" s="9">
        <v>38229</v>
      </c>
    </row>
    <row r="58" spans="2:4">
      <c r="B58" s="15">
        <v>39916</v>
      </c>
      <c r="C58" s="15">
        <v>38033</v>
      </c>
      <c r="D58" s="10">
        <v>38348</v>
      </c>
    </row>
    <row r="59" spans="2:4">
      <c r="B59" s="16">
        <v>39934</v>
      </c>
      <c r="C59" s="16">
        <v>38138</v>
      </c>
      <c r="D59" s="9">
        <v>38349</v>
      </c>
    </row>
    <row r="60" spans="2:4">
      <c r="B60" s="15">
        <v>40172</v>
      </c>
      <c r="C60" s="15">
        <v>38173</v>
      </c>
      <c r="D60" s="10">
        <v>38355</v>
      </c>
    </row>
    <row r="61" spans="2:4">
      <c r="B61" s="16">
        <v>40179</v>
      </c>
      <c r="C61" s="16">
        <v>38236</v>
      </c>
      <c r="D61" s="9">
        <v>38436</v>
      </c>
    </row>
    <row r="62" spans="2:4">
      <c r="B62" s="15">
        <v>40270</v>
      </c>
      <c r="C62" s="15">
        <v>38271</v>
      </c>
      <c r="D62" s="10">
        <v>38439</v>
      </c>
    </row>
    <row r="63" spans="2:4">
      <c r="B63" s="16">
        <v>40273</v>
      </c>
      <c r="C63" s="16">
        <v>38302</v>
      </c>
      <c r="D63" s="9">
        <v>38474</v>
      </c>
    </row>
    <row r="64" spans="2:4">
      <c r="B64" s="15">
        <v>40655</v>
      </c>
      <c r="C64" s="15">
        <v>38316</v>
      </c>
      <c r="D64" s="10">
        <v>38502</v>
      </c>
    </row>
    <row r="65" spans="2:4">
      <c r="B65" s="16">
        <v>40658</v>
      </c>
      <c r="C65" s="16">
        <v>38369</v>
      </c>
      <c r="D65" s="9">
        <v>38593</v>
      </c>
    </row>
    <row r="66" spans="2:4">
      <c r="B66" s="15">
        <v>40903</v>
      </c>
      <c r="C66" s="15">
        <v>38404</v>
      </c>
      <c r="D66" s="10">
        <v>38712</v>
      </c>
    </row>
    <row r="67" spans="2:4">
      <c r="B67" s="16">
        <v>41005</v>
      </c>
      <c r="C67" s="16">
        <v>38502</v>
      </c>
      <c r="D67" s="9">
        <v>38713</v>
      </c>
    </row>
    <row r="68" spans="2:4">
      <c r="B68" s="15">
        <v>41008</v>
      </c>
      <c r="C68" s="15">
        <v>38537</v>
      </c>
      <c r="D68" s="10">
        <v>38719</v>
      </c>
    </row>
    <row r="69" spans="2:4">
      <c r="B69" s="16">
        <v>41030</v>
      </c>
      <c r="C69" s="16">
        <v>38600</v>
      </c>
      <c r="D69" s="9">
        <v>38821</v>
      </c>
    </row>
    <row r="70" spans="2:4">
      <c r="B70" s="15">
        <v>41268</v>
      </c>
      <c r="C70" s="15">
        <v>38635</v>
      </c>
      <c r="D70" s="10">
        <v>38824</v>
      </c>
    </row>
    <row r="71" spans="2:4">
      <c r="B71" s="16">
        <v>41269</v>
      </c>
      <c r="C71" s="16">
        <v>38667</v>
      </c>
      <c r="D71" s="9">
        <v>38838</v>
      </c>
    </row>
    <row r="72" spans="2:4">
      <c r="B72" s="15">
        <v>41275</v>
      </c>
      <c r="C72" s="15">
        <v>38680</v>
      </c>
      <c r="D72" s="10">
        <v>38866</v>
      </c>
    </row>
    <row r="73" spans="2:4">
      <c r="B73" s="16">
        <v>41362</v>
      </c>
      <c r="C73" s="16">
        <v>38712</v>
      </c>
      <c r="D73" s="9">
        <v>38957</v>
      </c>
    </row>
    <row r="74" spans="2:4">
      <c r="B74" s="15">
        <v>41365</v>
      </c>
      <c r="C74" s="15">
        <v>38719</v>
      </c>
      <c r="D74" s="10">
        <v>39076</v>
      </c>
    </row>
    <row r="75" spans="2:4">
      <c r="B75" s="16">
        <v>41375</v>
      </c>
      <c r="C75" s="16">
        <v>38733</v>
      </c>
      <c r="D75" s="9">
        <v>39077</v>
      </c>
    </row>
    <row r="76" spans="2:4">
      <c r="B76" s="15">
        <v>41379</v>
      </c>
      <c r="C76" s="15">
        <v>38768</v>
      </c>
      <c r="D76" s="10">
        <v>39083</v>
      </c>
    </row>
    <row r="77" spans="2:4">
      <c r="B77" s="16">
        <v>41395</v>
      </c>
      <c r="C77" s="16">
        <v>38866</v>
      </c>
      <c r="D77" s="9">
        <v>39178</v>
      </c>
    </row>
    <row r="78" spans="2:4">
      <c r="B78" s="15">
        <v>41633</v>
      </c>
      <c r="C78" s="15">
        <v>38902</v>
      </c>
      <c r="D78" s="10">
        <v>39181</v>
      </c>
    </row>
    <row r="79" spans="2:4">
      <c r="B79" s="16">
        <v>41634</v>
      </c>
      <c r="C79" s="16">
        <v>38964</v>
      </c>
      <c r="D79" s="9">
        <v>39209</v>
      </c>
    </row>
    <row r="80" spans="2:4">
      <c r="B80" s="15">
        <v>41640</v>
      </c>
      <c r="C80" s="15">
        <v>38999</v>
      </c>
      <c r="D80" s="10">
        <v>39230</v>
      </c>
    </row>
    <row r="81" spans="2:4">
      <c r="B81" s="16">
        <v>41747</v>
      </c>
      <c r="C81" s="16">
        <v>39044</v>
      </c>
      <c r="D81" s="9">
        <v>39321</v>
      </c>
    </row>
    <row r="82" spans="2:4">
      <c r="B82" s="15">
        <v>41750</v>
      </c>
      <c r="C82" s="15">
        <v>39076</v>
      </c>
      <c r="D82" s="10">
        <v>39441</v>
      </c>
    </row>
    <row r="83" spans="2:4">
      <c r="B83" s="16">
        <v>41760</v>
      </c>
      <c r="C83" s="16">
        <v>39083</v>
      </c>
      <c r="D83" s="9">
        <v>39442</v>
      </c>
    </row>
    <row r="84" spans="2:4">
      <c r="B84" s="15">
        <v>41998</v>
      </c>
      <c r="C84" s="15">
        <v>39097</v>
      </c>
      <c r="D84" s="10">
        <v>39448</v>
      </c>
    </row>
    <row r="85" spans="2:4">
      <c r="B85" s="16">
        <v>41999</v>
      </c>
      <c r="C85" s="16">
        <v>39132</v>
      </c>
      <c r="D85" s="9">
        <v>39528</v>
      </c>
    </row>
    <row r="86" spans="2:4">
      <c r="B86" s="15">
        <v>42005</v>
      </c>
      <c r="C86" s="15">
        <v>39230</v>
      </c>
      <c r="D86" s="10">
        <v>39531</v>
      </c>
    </row>
    <row r="87" spans="2:4">
      <c r="B87" s="16">
        <v>42097</v>
      </c>
      <c r="C87" s="16">
        <v>39267</v>
      </c>
      <c r="D87" s="9">
        <v>39573</v>
      </c>
    </row>
    <row r="88" spans="2:4">
      <c r="B88" s="15">
        <v>42100</v>
      </c>
      <c r="C88" s="15">
        <v>39328</v>
      </c>
      <c r="D88" s="10">
        <v>39594</v>
      </c>
    </row>
    <row r="89" spans="2:4">
      <c r="B89" s="16">
        <v>42125</v>
      </c>
      <c r="C89" s="16">
        <v>39363</v>
      </c>
      <c r="D89" s="9">
        <v>39685</v>
      </c>
    </row>
    <row r="90" spans="2:4">
      <c r="B90" s="15">
        <v>42363</v>
      </c>
      <c r="C90" s="15">
        <v>39398</v>
      </c>
      <c r="D90" s="10">
        <v>39807</v>
      </c>
    </row>
    <row r="91" spans="2:4">
      <c r="B91" s="16">
        <v>42370</v>
      </c>
      <c r="C91" s="16">
        <v>39408</v>
      </c>
      <c r="D91" s="9">
        <v>39808</v>
      </c>
    </row>
    <row r="92" spans="2:4">
      <c r="B92" s="15">
        <v>42454</v>
      </c>
      <c r="C92" s="15">
        <v>39441</v>
      </c>
      <c r="D92" s="10">
        <v>39814</v>
      </c>
    </row>
    <row r="93" spans="2:4">
      <c r="B93" s="16">
        <v>42457</v>
      </c>
      <c r="C93" s="16">
        <v>39448</v>
      </c>
      <c r="D93" s="9">
        <v>39913</v>
      </c>
    </row>
    <row r="94" spans="2:4">
      <c r="B94" s="15">
        <v>42730</v>
      </c>
      <c r="C94" s="15">
        <v>39468</v>
      </c>
      <c r="D94" s="10">
        <v>39916</v>
      </c>
    </row>
    <row r="95" spans="2:4">
      <c r="B95" s="16">
        <v>42839</v>
      </c>
      <c r="C95" s="16">
        <v>39496</v>
      </c>
      <c r="D95" s="9">
        <v>39937</v>
      </c>
    </row>
    <row r="96" spans="2:4">
      <c r="B96" s="15">
        <v>42842</v>
      </c>
      <c r="C96" s="15">
        <v>39594</v>
      </c>
      <c r="D96" s="10">
        <v>39958</v>
      </c>
    </row>
    <row r="97" spans="2:4">
      <c r="B97" s="16">
        <v>42856</v>
      </c>
      <c r="C97" s="16">
        <v>39633</v>
      </c>
      <c r="D97" s="9">
        <v>40056</v>
      </c>
    </row>
    <row r="98" spans="2:4">
      <c r="B98" s="15">
        <v>43094</v>
      </c>
      <c r="C98" s="15">
        <v>39692</v>
      </c>
      <c r="D98" s="10">
        <v>40172</v>
      </c>
    </row>
    <row r="99" spans="2:4">
      <c r="B99" s="16">
        <v>43095</v>
      </c>
      <c r="C99" s="16">
        <v>39734</v>
      </c>
      <c r="D99" s="9">
        <v>40175</v>
      </c>
    </row>
    <row r="100" spans="2:4">
      <c r="B100" s="15">
        <v>43101</v>
      </c>
      <c r="C100" s="15">
        <v>39763</v>
      </c>
      <c r="D100" s="10">
        <v>40179</v>
      </c>
    </row>
    <row r="101" spans="2:4">
      <c r="B101" s="16">
        <v>43189</v>
      </c>
      <c r="C101" s="16">
        <v>39779</v>
      </c>
      <c r="D101" s="9">
        <v>40270</v>
      </c>
    </row>
    <row r="102" spans="2:4">
      <c r="B102" s="15">
        <v>43192</v>
      </c>
      <c r="C102" s="15">
        <v>39807</v>
      </c>
      <c r="D102" s="10">
        <v>40273</v>
      </c>
    </row>
    <row r="103" spans="2:4">
      <c r="B103" s="16">
        <v>43221</v>
      </c>
      <c r="C103" s="16">
        <v>39814</v>
      </c>
      <c r="D103" s="9">
        <v>40301</v>
      </c>
    </row>
    <row r="104" spans="2:4">
      <c r="B104" s="15">
        <v>43459</v>
      </c>
      <c r="C104" s="15">
        <v>39832</v>
      </c>
      <c r="D104" s="10">
        <v>40329</v>
      </c>
    </row>
    <row r="105" spans="2:4">
      <c r="B105" s="16">
        <v>43460</v>
      </c>
      <c r="C105" s="16">
        <v>39860</v>
      </c>
      <c r="D105" s="9">
        <v>40420</v>
      </c>
    </row>
    <row r="106" spans="2:4">
      <c r="B106" s="15">
        <v>43466</v>
      </c>
      <c r="C106" s="15">
        <v>39958</v>
      </c>
      <c r="D106" s="10">
        <v>40539</v>
      </c>
    </row>
    <row r="107" spans="2:4">
      <c r="B107" s="16">
        <v>43574</v>
      </c>
      <c r="C107" s="16">
        <v>40063</v>
      </c>
      <c r="D107" s="9">
        <v>40540</v>
      </c>
    </row>
    <row r="108" spans="2:4">
      <c r="B108" s="15">
        <v>43577</v>
      </c>
      <c r="C108" s="15">
        <v>40098</v>
      </c>
      <c r="D108" s="10">
        <v>40546</v>
      </c>
    </row>
    <row r="109" spans="2:4">
      <c r="B109" s="16">
        <v>43586</v>
      </c>
      <c r="C109" s="16">
        <v>40128</v>
      </c>
      <c r="D109" s="9">
        <v>40655</v>
      </c>
    </row>
    <row r="110" spans="2:4">
      <c r="B110" s="15">
        <v>43824</v>
      </c>
      <c r="C110" s="15">
        <v>40143</v>
      </c>
      <c r="D110" s="10">
        <v>40658</v>
      </c>
    </row>
    <row r="111" spans="2:4">
      <c r="B111" s="16">
        <v>43825</v>
      </c>
      <c r="C111" s="16">
        <v>40172</v>
      </c>
      <c r="D111" s="9">
        <v>40662</v>
      </c>
    </row>
    <row r="112" spans="2:4">
      <c r="B112" s="15">
        <v>43831</v>
      </c>
      <c r="C112" s="15">
        <v>40179</v>
      </c>
      <c r="D112" s="10">
        <v>40665</v>
      </c>
    </row>
    <row r="113" spans="2:4">
      <c r="B113" s="16">
        <v>43931</v>
      </c>
      <c r="C113" s="16">
        <v>40196</v>
      </c>
      <c r="D113" s="9">
        <v>40693</v>
      </c>
    </row>
    <row r="114" spans="2:4">
      <c r="B114" s="15">
        <v>43934</v>
      </c>
      <c r="C114" s="15">
        <v>40224</v>
      </c>
      <c r="D114" s="10">
        <v>40784</v>
      </c>
    </row>
    <row r="115" spans="2:4">
      <c r="B115" s="16">
        <v>43952</v>
      </c>
      <c r="C115" s="16">
        <v>40329</v>
      </c>
      <c r="D115" s="9">
        <v>40903</v>
      </c>
    </row>
    <row r="116" spans="2:4">
      <c r="B116" s="15">
        <v>44190</v>
      </c>
      <c r="C116" s="15">
        <v>40364</v>
      </c>
      <c r="D116" s="10">
        <v>40904</v>
      </c>
    </row>
    <row r="117" spans="2:4">
      <c r="B117" s="16">
        <v>44197</v>
      </c>
      <c r="C117" s="16">
        <v>40427</v>
      </c>
      <c r="D117" s="9">
        <v>40910</v>
      </c>
    </row>
    <row r="118" spans="2:4">
      <c r="B118" s="15">
        <v>44288</v>
      </c>
      <c r="C118" s="15">
        <v>40462</v>
      </c>
      <c r="D118" s="10">
        <v>41005</v>
      </c>
    </row>
    <row r="119" spans="2:4">
      <c r="B119" s="16">
        <v>44291</v>
      </c>
      <c r="C119" s="16">
        <v>40493</v>
      </c>
      <c r="D119" s="9">
        <v>41008</v>
      </c>
    </row>
    <row r="120" spans="2:4">
      <c r="B120" s="15">
        <v>44666</v>
      </c>
      <c r="C120" s="15">
        <v>40507</v>
      </c>
      <c r="D120" s="10">
        <v>41036</v>
      </c>
    </row>
    <row r="121" spans="2:4">
      <c r="B121" s="16">
        <v>44669</v>
      </c>
      <c r="C121" s="16">
        <v>40560</v>
      </c>
      <c r="D121" s="9">
        <v>41064</v>
      </c>
    </row>
    <row r="122" spans="2:4">
      <c r="B122" s="15">
        <v>44921</v>
      </c>
      <c r="C122" s="15">
        <v>40595</v>
      </c>
      <c r="D122" s="10">
        <v>41065</v>
      </c>
    </row>
    <row r="123" spans="2:4">
      <c r="B123" s="16">
        <v>45023</v>
      </c>
      <c r="C123" s="16">
        <v>40693</v>
      </c>
      <c r="D123" s="9">
        <v>41148</v>
      </c>
    </row>
    <row r="124" spans="2:4">
      <c r="B124" s="15">
        <v>45026</v>
      </c>
      <c r="C124" s="15">
        <v>40728</v>
      </c>
      <c r="D124" s="10">
        <v>41268</v>
      </c>
    </row>
    <row r="125" spans="2:4">
      <c r="B125" s="16">
        <v>45047</v>
      </c>
      <c r="C125" s="16">
        <v>40791</v>
      </c>
      <c r="D125" s="9">
        <v>41269</v>
      </c>
    </row>
    <row r="126" spans="2:4">
      <c r="B126" s="15">
        <v>45285</v>
      </c>
      <c r="C126" s="15">
        <v>40826</v>
      </c>
      <c r="D126" s="10">
        <v>41275</v>
      </c>
    </row>
    <row r="127" spans="2:4">
      <c r="B127" s="16">
        <v>45286</v>
      </c>
      <c r="C127" s="16">
        <v>40858</v>
      </c>
      <c r="D127" s="9">
        <v>41362</v>
      </c>
    </row>
    <row r="128" spans="2:4">
      <c r="B128" s="15">
        <v>45292</v>
      </c>
      <c r="C128" s="15">
        <v>40871</v>
      </c>
      <c r="D128" s="10">
        <v>41365</v>
      </c>
    </row>
    <row r="129" spans="2:4">
      <c r="B129" s="16">
        <v>45380</v>
      </c>
      <c r="C129" s="16">
        <v>40903</v>
      </c>
      <c r="D129" s="9">
        <v>41400</v>
      </c>
    </row>
    <row r="130" spans="2:4">
      <c r="B130" s="15">
        <v>45383</v>
      </c>
      <c r="C130" s="15">
        <v>40910</v>
      </c>
      <c r="D130" s="10">
        <v>41421</v>
      </c>
    </row>
    <row r="131" spans="2:4">
      <c r="B131" s="16">
        <v>45413</v>
      </c>
      <c r="C131" s="16">
        <v>40924</v>
      </c>
      <c r="D131" s="9">
        <v>41512</v>
      </c>
    </row>
    <row r="132" spans="2:4">
      <c r="B132" s="15">
        <v>45651</v>
      </c>
      <c r="C132" s="15">
        <v>40959</v>
      </c>
      <c r="D132" s="10">
        <v>41633</v>
      </c>
    </row>
    <row r="133" spans="2:4">
      <c r="B133" s="16">
        <v>45652</v>
      </c>
      <c r="C133" s="16">
        <v>41057</v>
      </c>
      <c r="D133" s="9">
        <v>41634</v>
      </c>
    </row>
    <row r="134" spans="2:4">
      <c r="B134" s="15">
        <v>45658</v>
      </c>
      <c r="C134" s="15">
        <v>41094</v>
      </c>
      <c r="D134" s="10">
        <v>41640</v>
      </c>
    </row>
    <row r="135" spans="2:4">
      <c r="B135" s="16">
        <v>45765</v>
      </c>
      <c r="C135" s="16">
        <v>41155</v>
      </c>
      <c r="D135" s="9">
        <v>41747</v>
      </c>
    </row>
    <row r="136" spans="2:4">
      <c r="B136" s="15">
        <v>45768</v>
      </c>
      <c r="C136" s="15">
        <v>41190</v>
      </c>
      <c r="D136" s="10">
        <v>41750</v>
      </c>
    </row>
    <row r="137" spans="2:4">
      <c r="B137" s="16">
        <v>45778</v>
      </c>
      <c r="C137" s="16">
        <v>41225</v>
      </c>
      <c r="D137" s="9">
        <v>41764</v>
      </c>
    </row>
    <row r="138" spans="2:4">
      <c r="B138" s="15">
        <v>46016</v>
      </c>
      <c r="C138" s="15">
        <v>41235</v>
      </c>
      <c r="D138" s="10">
        <v>41785</v>
      </c>
    </row>
    <row r="139" spans="2:4">
      <c r="B139" s="16">
        <v>46017</v>
      </c>
      <c r="C139" s="16">
        <v>41268</v>
      </c>
      <c r="D139" s="9">
        <v>41876</v>
      </c>
    </row>
    <row r="140" spans="2:4">
      <c r="B140" s="15">
        <v>46023</v>
      </c>
      <c r="C140" s="15">
        <v>41275</v>
      </c>
      <c r="D140" s="10">
        <v>41998</v>
      </c>
    </row>
    <row r="141" spans="2:4">
      <c r="B141" s="16">
        <v>46115</v>
      </c>
      <c r="C141" s="16">
        <v>41295</v>
      </c>
      <c r="D141" s="9">
        <v>41999</v>
      </c>
    </row>
    <row r="142" spans="2:4">
      <c r="B142" s="15">
        <v>46118</v>
      </c>
      <c r="C142" s="15">
        <v>41323</v>
      </c>
      <c r="D142" s="10">
        <v>42005</v>
      </c>
    </row>
    <row r="143" spans="2:4">
      <c r="B143" s="16">
        <v>46143</v>
      </c>
      <c r="C143" s="16">
        <v>41375</v>
      </c>
      <c r="D143" s="9">
        <v>42097</v>
      </c>
    </row>
    <row r="144" spans="2:4">
      <c r="B144" s="15">
        <v>46381</v>
      </c>
      <c r="C144" s="15">
        <v>41379</v>
      </c>
      <c r="D144" s="10">
        <v>42100</v>
      </c>
    </row>
    <row r="145" spans="2:4">
      <c r="B145" s="16">
        <v>46388</v>
      </c>
      <c r="C145" s="16">
        <v>41421</v>
      </c>
      <c r="D145" s="9">
        <v>42128</v>
      </c>
    </row>
    <row r="146" spans="2:4">
      <c r="B146" s="15">
        <v>46472</v>
      </c>
      <c r="C146" s="15">
        <v>41459</v>
      </c>
      <c r="D146" s="10">
        <v>42149</v>
      </c>
    </row>
    <row r="147" spans="2:4">
      <c r="B147" s="16">
        <v>46475</v>
      </c>
      <c r="C147" s="16">
        <v>41519</v>
      </c>
      <c r="D147" s="9">
        <v>42247</v>
      </c>
    </row>
    <row r="148" spans="2:4">
      <c r="B148" s="15">
        <v>46857</v>
      </c>
      <c r="C148" s="15">
        <v>41561</v>
      </c>
      <c r="D148" s="10">
        <v>42363</v>
      </c>
    </row>
    <row r="149" spans="2:4">
      <c r="B149" s="16">
        <v>46860</v>
      </c>
      <c r="C149" s="16">
        <v>41589</v>
      </c>
      <c r="D149" s="9">
        <v>42366</v>
      </c>
    </row>
    <row r="150" spans="2:4">
      <c r="B150" s="15">
        <v>46874</v>
      </c>
      <c r="C150" s="15">
        <v>41606</v>
      </c>
      <c r="D150" s="10">
        <v>42370</v>
      </c>
    </row>
    <row r="151" spans="2:4">
      <c r="B151" s="16">
        <v>47112</v>
      </c>
      <c r="C151" s="16">
        <v>41633</v>
      </c>
      <c r="D151" s="9">
        <v>42454</v>
      </c>
    </row>
    <row r="152" spans="2:4">
      <c r="B152" s="15">
        <v>47113</v>
      </c>
      <c r="C152" s="15">
        <v>41640</v>
      </c>
      <c r="D152" s="10">
        <v>42457</v>
      </c>
    </row>
    <row r="153" spans="2:4">
      <c r="B153" s="16">
        <v>47119</v>
      </c>
      <c r="C153" s="16">
        <v>41659</v>
      </c>
      <c r="D153" s="9">
        <v>42492</v>
      </c>
    </row>
    <row r="154" spans="2:4">
      <c r="B154" s="15">
        <v>47207</v>
      </c>
      <c r="C154" s="15">
        <v>41687</v>
      </c>
      <c r="D154" s="10">
        <v>42520</v>
      </c>
    </row>
    <row r="155" spans="2:4">
      <c r="B155" s="16">
        <v>47210</v>
      </c>
      <c r="C155" s="16">
        <v>41785</v>
      </c>
      <c r="D155" s="9">
        <v>42611</v>
      </c>
    </row>
    <row r="156" spans="2:4">
      <c r="B156" s="15">
        <v>47239</v>
      </c>
      <c r="C156" s="15">
        <v>41824</v>
      </c>
      <c r="D156" s="10">
        <v>42730</v>
      </c>
    </row>
    <row r="157" spans="2:4">
      <c r="B157" s="16">
        <v>47477</v>
      </c>
      <c r="C157" s="16">
        <v>41883</v>
      </c>
      <c r="D157" s="9">
        <v>42731</v>
      </c>
    </row>
    <row r="158" spans="2:4">
      <c r="B158" s="15">
        <v>47478</v>
      </c>
      <c r="C158" s="15">
        <v>41925</v>
      </c>
      <c r="D158" s="10">
        <v>42737</v>
      </c>
    </row>
    <row r="159" spans="2:4">
      <c r="B159" s="16">
        <v>47484</v>
      </c>
      <c r="C159" s="16">
        <v>41954</v>
      </c>
      <c r="D159" s="9">
        <v>42839</v>
      </c>
    </row>
    <row r="160" spans="2:4">
      <c r="B160" s="15">
        <v>47592</v>
      </c>
      <c r="C160" s="15">
        <v>41970</v>
      </c>
      <c r="D160" s="10">
        <v>42842</v>
      </c>
    </row>
    <row r="161" spans="2:4">
      <c r="B161" s="16">
        <v>47595</v>
      </c>
      <c r="C161" s="16">
        <v>41998</v>
      </c>
      <c r="D161" s="9">
        <v>42856</v>
      </c>
    </row>
    <row r="162" spans="2:4">
      <c r="B162" s="15">
        <v>47604</v>
      </c>
      <c r="C162" s="15">
        <v>42005</v>
      </c>
      <c r="D162" s="10">
        <v>42884</v>
      </c>
    </row>
    <row r="163" spans="2:4">
      <c r="B163" s="16">
        <v>47842</v>
      </c>
      <c r="C163" s="16">
        <v>42023</v>
      </c>
      <c r="D163" s="9">
        <v>42975</v>
      </c>
    </row>
    <row r="164" spans="2:4">
      <c r="B164" s="15">
        <v>47843</v>
      </c>
      <c r="C164" s="15">
        <v>42051</v>
      </c>
      <c r="D164" s="10">
        <v>43094</v>
      </c>
    </row>
    <row r="165" spans="2:4">
      <c r="B165" s="16">
        <v>47849</v>
      </c>
      <c r="C165" s="16">
        <v>42149</v>
      </c>
      <c r="D165" s="9">
        <v>43095</v>
      </c>
    </row>
    <row r="166" spans="2:4">
      <c r="B166" s="15">
        <v>47949</v>
      </c>
      <c r="C166" s="15">
        <v>42254</v>
      </c>
      <c r="D166" s="10">
        <v>43101</v>
      </c>
    </row>
    <row r="167" spans="2:4">
      <c r="B167" s="16">
        <v>47952</v>
      </c>
      <c r="C167" s="16">
        <v>42289</v>
      </c>
      <c r="D167" s="9">
        <v>43189</v>
      </c>
    </row>
    <row r="168" spans="2:4">
      <c r="B168" s="15">
        <v>47969</v>
      </c>
      <c r="C168" s="15">
        <v>42319</v>
      </c>
      <c r="D168" s="10">
        <v>43192</v>
      </c>
    </row>
    <row r="169" spans="2:4">
      <c r="B169" s="16">
        <v>48207</v>
      </c>
      <c r="C169" s="16">
        <v>42334</v>
      </c>
      <c r="D169" s="9">
        <v>43227</v>
      </c>
    </row>
    <row r="170" spans="2:4">
      <c r="B170" s="15">
        <v>48208</v>
      </c>
      <c r="C170" s="15">
        <v>42363</v>
      </c>
      <c r="D170" s="10">
        <v>43248</v>
      </c>
    </row>
    <row r="171" spans="2:4">
      <c r="B171" s="16">
        <v>48214</v>
      </c>
      <c r="C171" s="16">
        <v>42370</v>
      </c>
      <c r="D171" s="9">
        <v>43339</v>
      </c>
    </row>
    <row r="172" spans="2:4">
      <c r="B172" s="15">
        <v>48299</v>
      </c>
      <c r="C172" s="15">
        <v>42387</v>
      </c>
      <c r="D172" s="10">
        <v>43459</v>
      </c>
    </row>
    <row r="173" spans="2:4">
      <c r="B173" s="16">
        <v>48302</v>
      </c>
      <c r="C173" s="16">
        <v>42415</v>
      </c>
      <c r="D173" s="9">
        <v>43460</v>
      </c>
    </row>
    <row r="174" spans="2:4">
      <c r="B174" s="15">
        <v>48684</v>
      </c>
      <c r="C174" s="15">
        <v>42520</v>
      </c>
      <c r="D174" s="10">
        <v>43466</v>
      </c>
    </row>
    <row r="175" spans="2:4">
      <c r="B175" s="16">
        <v>48687</v>
      </c>
      <c r="C175" s="16">
        <v>42555</v>
      </c>
      <c r="D175" s="9">
        <v>43574</v>
      </c>
    </row>
    <row r="176" spans="2:4">
      <c r="B176" s="15">
        <v>48939</v>
      </c>
      <c r="C176" s="15">
        <v>42618</v>
      </c>
      <c r="D176" s="10">
        <v>43577</v>
      </c>
    </row>
    <row r="177" spans="2:4">
      <c r="B177" s="16">
        <v>49041</v>
      </c>
      <c r="C177" s="16">
        <v>42653</v>
      </c>
      <c r="D177" s="9">
        <v>43591</v>
      </c>
    </row>
    <row r="178" spans="2:4">
      <c r="B178" s="15">
        <v>49044</v>
      </c>
      <c r="C178" s="15">
        <v>42685</v>
      </c>
      <c r="D178" s="10">
        <v>43612</v>
      </c>
    </row>
    <row r="179" spans="2:4">
      <c r="B179" s="16">
        <v>49065</v>
      </c>
      <c r="C179" s="16">
        <v>42698</v>
      </c>
      <c r="D179" s="9">
        <v>43703</v>
      </c>
    </row>
    <row r="180" spans="2:4">
      <c r="B180" s="15">
        <v>49303</v>
      </c>
      <c r="C180" s="15">
        <v>42730</v>
      </c>
      <c r="D180" s="10">
        <v>43824</v>
      </c>
    </row>
    <row r="181" spans="2:4">
      <c r="B181" s="16">
        <v>49304</v>
      </c>
      <c r="C181" s="16">
        <v>42737</v>
      </c>
      <c r="D181" s="9">
        <v>43825</v>
      </c>
    </row>
    <row r="182" spans="2:4">
      <c r="B182" s="15">
        <v>49310</v>
      </c>
      <c r="C182" s="15">
        <v>42751</v>
      </c>
      <c r="D182" s="10">
        <v>43831</v>
      </c>
    </row>
    <row r="183" spans="2:4">
      <c r="B183" s="16">
        <v>49391</v>
      </c>
      <c r="C183" s="16">
        <v>42786</v>
      </c>
      <c r="D183" s="9">
        <v>43931</v>
      </c>
    </row>
    <row r="184" spans="2:4">
      <c r="B184" s="15">
        <v>49394</v>
      </c>
      <c r="C184" s="15">
        <v>42884</v>
      </c>
      <c r="D184" s="10">
        <v>43934</v>
      </c>
    </row>
    <row r="185" spans="2:4">
      <c r="B185" s="16">
        <v>49430</v>
      </c>
      <c r="C185" s="16">
        <v>42920</v>
      </c>
      <c r="D185" s="9">
        <v>43955</v>
      </c>
    </row>
    <row r="186" spans="2:4">
      <c r="B186" s="15">
        <v>49668</v>
      </c>
      <c r="C186" s="15">
        <v>42982</v>
      </c>
      <c r="D186" s="10">
        <v>43976</v>
      </c>
    </row>
    <row r="187" spans="2:4">
      <c r="B187" s="16">
        <v>49669</v>
      </c>
      <c r="C187" s="16">
        <v>43017</v>
      </c>
      <c r="D187" s="9">
        <v>44074</v>
      </c>
    </row>
    <row r="188" spans="2:4">
      <c r="B188" s="15">
        <v>49675</v>
      </c>
      <c r="C188" s="15">
        <v>43062</v>
      </c>
      <c r="D188" s="10">
        <v>44190</v>
      </c>
    </row>
    <row r="189" spans="2:4">
      <c r="B189" s="16">
        <v>49776</v>
      </c>
      <c r="C189" s="16">
        <v>43094</v>
      </c>
      <c r="D189" s="9">
        <v>44193</v>
      </c>
    </row>
    <row r="190" spans="2:4">
      <c r="B190" s="15">
        <v>49779</v>
      </c>
      <c r="C190" s="15">
        <v>43101</v>
      </c>
      <c r="D190" s="10">
        <v>44197</v>
      </c>
    </row>
    <row r="191" spans="2:4">
      <c r="B191" s="16">
        <v>49796</v>
      </c>
      <c r="C191" s="16">
        <v>43115</v>
      </c>
      <c r="D191" s="9">
        <v>44288</v>
      </c>
    </row>
    <row r="192" spans="2:4">
      <c r="B192" s="15">
        <v>50034</v>
      </c>
      <c r="C192" s="15">
        <v>43150</v>
      </c>
      <c r="D192" s="10">
        <v>44291</v>
      </c>
    </row>
    <row r="193" spans="2:4">
      <c r="B193" s="16">
        <v>50035</v>
      </c>
      <c r="C193" s="16">
        <v>43248</v>
      </c>
      <c r="D193" s="9">
        <v>44319</v>
      </c>
    </row>
    <row r="194" spans="2:4">
      <c r="B194" s="15">
        <v>50041</v>
      </c>
      <c r="C194" s="15">
        <v>43285</v>
      </c>
      <c r="D194" s="10">
        <v>44347</v>
      </c>
    </row>
    <row r="195" spans="2:4">
      <c r="B195" s="16">
        <v>50133</v>
      </c>
      <c r="C195" s="16">
        <v>43346</v>
      </c>
      <c r="D195" s="9">
        <v>44438</v>
      </c>
    </row>
    <row r="196" spans="2:4">
      <c r="B196" s="15">
        <v>50136</v>
      </c>
      <c r="C196" s="15">
        <v>43381</v>
      </c>
      <c r="D196" s="10">
        <v>44557</v>
      </c>
    </row>
    <row r="197" spans="2:4">
      <c r="B197" s="16">
        <v>50161</v>
      </c>
      <c r="C197" s="16">
        <v>43416</v>
      </c>
      <c r="D197" s="9">
        <v>44558</v>
      </c>
    </row>
    <row r="198" spans="2:4">
      <c r="B198" s="15">
        <v>50399</v>
      </c>
      <c r="C198" s="15">
        <v>43426</v>
      </c>
      <c r="D198" s="10">
        <v>44564</v>
      </c>
    </row>
    <row r="199" spans="2:4">
      <c r="B199" s="16">
        <v>50406</v>
      </c>
      <c r="C199" s="16">
        <v>43459</v>
      </c>
      <c r="D199" s="9">
        <v>44666</v>
      </c>
    </row>
    <row r="200" spans="2:4">
      <c r="B200" s="15">
        <v>50518</v>
      </c>
      <c r="C200" s="15">
        <v>43466</v>
      </c>
      <c r="D200" s="10">
        <v>44669</v>
      </c>
    </row>
    <row r="201" spans="2:4">
      <c r="B201" s="16">
        <v>50521</v>
      </c>
      <c r="C201" s="16">
        <v>43486</v>
      </c>
      <c r="D201" s="9">
        <v>44683</v>
      </c>
    </row>
    <row r="202" spans="2:4">
      <c r="B202" s="15">
        <v>50868</v>
      </c>
      <c r="C202" s="15">
        <v>43514</v>
      </c>
      <c r="D202" s="10">
        <v>44711</v>
      </c>
    </row>
    <row r="203" spans="2:4">
      <c r="B203" s="16">
        <v>50871</v>
      </c>
      <c r="C203" s="16">
        <v>43612</v>
      </c>
      <c r="D203" s="9">
        <v>44802</v>
      </c>
    </row>
    <row r="204" spans="2:4">
      <c r="B204" s="15">
        <v>51130</v>
      </c>
      <c r="C204" s="15">
        <v>43650</v>
      </c>
      <c r="D204" s="10">
        <v>44921</v>
      </c>
    </row>
    <row r="205" spans="2:4">
      <c r="B205" s="16">
        <v>51225</v>
      </c>
      <c r="C205" s="16">
        <v>43710</v>
      </c>
      <c r="D205" s="9">
        <v>44922</v>
      </c>
    </row>
    <row r="206" spans="2:4">
      <c r="B206" s="15">
        <v>51228</v>
      </c>
      <c r="C206" s="15">
        <v>43752</v>
      </c>
      <c r="D206" s="10">
        <v>44928</v>
      </c>
    </row>
    <row r="207" spans="2:4">
      <c r="B207" s="16">
        <v>51257</v>
      </c>
      <c r="C207" s="16">
        <v>43780</v>
      </c>
      <c r="D207" s="9">
        <v>45023</v>
      </c>
    </row>
    <row r="208" spans="2:4">
      <c r="B208" s="15">
        <v>51495</v>
      </c>
      <c r="C208" s="15">
        <v>43797</v>
      </c>
      <c r="D208" s="10">
        <v>45026</v>
      </c>
    </row>
    <row r="209" spans="2:4">
      <c r="B209" s="16">
        <v>51496</v>
      </c>
      <c r="C209" s="16">
        <v>43824</v>
      </c>
      <c r="D209" s="9">
        <v>45047</v>
      </c>
    </row>
    <row r="210" spans="2:4">
      <c r="B210" s="15">
        <v>51502</v>
      </c>
      <c r="C210" s="15">
        <v>43831</v>
      </c>
      <c r="D210" s="10">
        <v>45075</v>
      </c>
    </row>
    <row r="211" spans="2:4">
      <c r="B211" s="16">
        <v>51610</v>
      </c>
      <c r="C211" s="16">
        <v>43850</v>
      </c>
      <c r="D211" s="9">
        <v>45166</v>
      </c>
    </row>
    <row r="212" spans="2:4">
      <c r="B212" s="15">
        <v>51613</v>
      </c>
      <c r="C212" s="15">
        <v>43878</v>
      </c>
      <c r="D212" s="10">
        <v>45285</v>
      </c>
    </row>
    <row r="213" spans="2:4">
      <c r="B213" s="16">
        <v>51622</v>
      </c>
      <c r="C213" s="16">
        <v>43976</v>
      </c>
      <c r="D213" s="9">
        <v>45286</v>
      </c>
    </row>
    <row r="214" spans="2:4">
      <c r="B214" s="15">
        <v>51860</v>
      </c>
      <c r="C214" s="15">
        <v>44081</v>
      </c>
      <c r="D214" s="10">
        <v>45292</v>
      </c>
    </row>
    <row r="215" spans="2:4">
      <c r="B215" s="16">
        <v>51861</v>
      </c>
      <c r="C215" s="16">
        <v>44116</v>
      </c>
      <c r="D215" s="9">
        <v>45380</v>
      </c>
    </row>
    <row r="216" spans="2:4">
      <c r="B216" s="15">
        <v>51867</v>
      </c>
      <c r="C216" s="15">
        <v>44146</v>
      </c>
      <c r="D216" s="10">
        <v>45383</v>
      </c>
    </row>
    <row r="217" spans="2:4">
      <c r="B217" s="16">
        <v>51960</v>
      </c>
      <c r="C217" s="16">
        <v>44161</v>
      </c>
      <c r="D217" s="9">
        <v>45418</v>
      </c>
    </row>
    <row r="218" spans="2:4">
      <c r="B218" s="15">
        <v>51963</v>
      </c>
      <c r="C218" s="15">
        <v>44190</v>
      </c>
      <c r="D218" s="10">
        <v>45439</v>
      </c>
    </row>
    <row r="219" spans="2:4">
      <c r="B219" s="16">
        <v>51987</v>
      </c>
      <c r="C219" s="16">
        <v>44197</v>
      </c>
      <c r="D219" s="9">
        <v>45530</v>
      </c>
    </row>
    <row r="220" spans="2:4">
      <c r="B220" s="15">
        <v>52225</v>
      </c>
      <c r="C220" s="15">
        <v>44214</v>
      </c>
      <c r="D220" s="10">
        <v>45651</v>
      </c>
    </row>
    <row r="221" spans="2:4">
      <c r="B221" s="16">
        <v>52226</v>
      </c>
      <c r="C221" s="16">
        <v>44242</v>
      </c>
      <c r="D221" s="9">
        <v>45652</v>
      </c>
    </row>
    <row r="222" spans="2:4">
      <c r="B222" s="15">
        <v>52232</v>
      </c>
      <c r="C222" s="15">
        <v>44347</v>
      </c>
      <c r="D222" s="10">
        <v>45658</v>
      </c>
    </row>
    <row r="223" spans="2:4">
      <c r="B223" s="16">
        <v>52317</v>
      </c>
      <c r="C223" s="16">
        <v>44382</v>
      </c>
      <c r="D223" s="9">
        <v>45765</v>
      </c>
    </row>
    <row r="224" spans="2:4">
      <c r="B224" s="15">
        <v>52320</v>
      </c>
      <c r="C224" s="15">
        <v>44445</v>
      </c>
      <c r="D224" s="10">
        <v>45768</v>
      </c>
    </row>
    <row r="225" spans="2:4">
      <c r="B225" s="16">
        <v>52352</v>
      </c>
      <c r="C225" s="16">
        <v>44480</v>
      </c>
      <c r="D225" s="9">
        <v>45782</v>
      </c>
    </row>
    <row r="226" spans="2:4">
      <c r="B226" s="15">
        <v>52590</v>
      </c>
      <c r="C226" s="15">
        <v>44511</v>
      </c>
      <c r="D226" s="10">
        <v>45803</v>
      </c>
    </row>
    <row r="227" spans="2:4">
      <c r="B227" s="16">
        <v>52597</v>
      </c>
      <c r="C227" s="16">
        <v>44525</v>
      </c>
      <c r="D227" s="9">
        <v>45894</v>
      </c>
    </row>
    <row r="228" spans="2:4">
      <c r="B228" s="15">
        <v>52702</v>
      </c>
      <c r="C228" s="15">
        <v>44578</v>
      </c>
      <c r="D228" s="10">
        <v>46016</v>
      </c>
    </row>
    <row r="229" spans="2:4">
      <c r="B229" s="16">
        <v>52705</v>
      </c>
      <c r="C229" s="16">
        <v>44613</v>
      </c>
      <c r="D229" s="9">
        <v>46017</v>
      </c>
    </row>
    <row r="230" spans="2:4">
      <c r="B230" s="15">
        <v>52957</v>
      </c>
      <c r="C230" s="15">
        <v>44711</v>
      </c>
      <c r="D230" s="10">
        <v>46023</v>
      </c>
    </row>
    <row r="231" spans="2:4">
      <c r="B231" s="16">
        <v>53059</v>
      </c>
      <c r="C231" s="16">
        <v>44746</v>
      </c>
      <c r="D231" s="9">
        <v>46115</v>
      </c>
    </row>
    <row r="232" spans="2:4">
      <c r="B232" s="15">
        <v>53062</v>
      </c>
      <c r="C232" s="15">
        <v>44809</v>
      </c>
      <c r="D232" s="10">
        <v>46118</v>
      </c>
    </row>
    <row r="233" spans="2:4">
      <c r="B233" s="16">
        <v>53083</v>
      </c>
      <c r="C233" s="16">
        <v>44844</v>
      </c>
      <c r="D233" s="9">
        <v>46146</v>
      </c>
    </row>
    <row r="234" spans="2:4">
      <c r="B234" s="15">
        <v>53321</v>
      </c>
      <c r="C234" s="15">
        <v>44876</v>
      </c>
      <c r="D234" s="10">
        <v>46167</v>
      </c>
    </row>
    <row r="235" spans="2:4">
      <c r="B235" s="16">
        <v>53322</v>
      </c>
      <c r="C235" s="16">
        <v>44889</v>
      </c>
      <c r="D235" s="9">
        <v>46265</v>
      </c>
    </row>
    <row r="236" spans="2:4">
      <c r="B236" s="15">
        <v>53328</v>
      </c>
      <c r="C236" s="15">
        <v>44921</v>
      </c>
      <c r="D236" s="10">
        <v>46381</v>
      </c>
    </row>
    <row r="237" spans="2:4">
      <c r="B237" s="16">
        <v>53409</v>
      </c>
      <c r="C237" s="16">
        <v>44928</v>
      </c>
      <c r="D237" s="9">
        <v>46384</v>
      </c>
    </row>
    <row r="238" spans="2:4">
      <c r="B238" s="15">
        <v>53412</v>
      </c>
      <c r="C238" s="15">
        <v>44942</v>
      </c>
      <c r="D238" s="10">
        <v>46388</v>
      </c>
    </row>
    <row r="239" spans="2:4">
      <c r="B239" s="16">
        <v>53448</v>
      </c>
      <c r="C239" s="16">
        <v>44977</v>
      </c>
      <c r="D239" s="9">
        <v>46472</v>
      </c>
    </row>
    <row r="240" spans="2:4">
      <c r="B240" s="15">
        <v>53686</v>
      </c>
      <c r="C240" s="15">
        <v>45075</v>
      </c>
      <c r="D240" s="10">
        <v>46475</v>
      </c>
    </row>
    <row r="241" spans="2:4">
      <c r="B241" s="16">
        <v>53687</v>
      </c>
      <c r="C241" s="16">
        <v>45111</v>
      </c>
      <c r="D241" s="9">
        <v>46510</v>
      </c>
    </row>
    <row r="242" spans="2:4">
      <c r="B242" s="15">
        <v>53693</v>
      </c>
      <c r="C242" s="15">
        <v>45173</v>
      </c>
      <c r="D242" s="10">
        <v>46538</v>
      </c>
    </row>
    <row r="243" spans="2:4">
      <c r="B243" s="16">
        <v>53794</v>
      </c>
      <c r="C243" s="16">
        <v>45208</v>
      </c>
      <c r="D243" s="9">
        <v>46629</v>
      </c>
    </row>
    <row r="244" spans="2:4">
      <c r="B244" s="15">
        <v>53797</v>
      </c>
      <c r="C244" s="15">
        <v>45253</v>
      </c>
      <c r="D244" s="10">
        <v>46748</v>
      </c>
    </row>
    <row r="245" spans="2:4">
      <c r="B245" s="16">
        <v>53813</v>
      </c>
      <c r="C245" s="16">
        <v>45285</v>
      </c>
      <c r="D245" s="9">
        <v>46749</v>
      </c>
    </row>
    <row r="246" spans="2:4">
      <c r="B246" s="15">
        <v>54051</v>
      </c>
      <c r="C246" s="15">
        <v>45292</v>
      </c>
      <c r="D246" s="10">
        <v>46755</v>
      </c>
    </row>
    <row r="247" spans="2:4">
      <c r="B247" s="16">
        <v>54052</v>
      </c>
      <c r="C247" s="16">
        <v>45306</v>
      </c>
      <c r="D247" s="9">
        <v>46857</v>
      </c>
    </row>
    <row r="248" spans="2:4">
      <c r="B248" s="15">
        <v>54058</v>
      </c>
      <c r="C248" s="15">
        <v>45341</v>
      </c>
      <c r="D248" s="10">
        <v>46860</v>
      </c>
    </row>
    <row r="249" spans="2:4">
      <c r="B249" s="16">
        <v>54151</v>
      </c>
      <c r="C249" s="16">
        <v>45439</v>
      </c>
      <c r="D249" s="9">
        <v>46874</v>
      </c>
    </row>
    <row r="250" spans="2:4">
      <c r="B250" s="15">
        <v>54154</v>
      </c>
      <c r="C250" s="15">
        <v>45477</v>
      </c>
      <c r="D250" s="10">
        <v>46902</v>
      </c>
    </row>
    <row r="251" spans="2:4">
      <c r="B251" s="16">
        <v>54179</v>
      </c>
      <c r="C251" s="16">
        <v>45537</v>
      </c>
      <c r="D251" s="9">
        <v>46993</v>
      </c>
    </row>
    <row r="252" spans="2:4">
      <c r="B252" s="15">
        <v>54417</v>
      </c>
      <c r="C252" s="15">
        <v>45579</v>
      </c>
      <c r="D252" s="10">
        <v>47112</v>
      </c>
    </row>
    <row r="253" spans="2:4">
      <c r="B253" s="16">
        <v>54424</v>
      </c>
      <c r="C253" s="16">
        <v>45607</v>
      </c>
      <c r="D253" s="9">
        <v>47113</v>
      </c>
    </row>
    <row r="254" spans="2:4">
      <c r="B254" s="15">
        <v>54529</v>
      </c>
      <c r="C254" s="15">
        <v>45624</v>
      </c>
      <c r="D254" s="10">
        <v>47119</v>
      </c>
    </row>
    <row r="255" spans="2:4">
      <c r="B255" s="16">
        <v>54532</v>
      </c>
      <c r="C255" s="16">
        <v>45651</v>
      </c>
      <c r="D255" s="9">
        <v>47207</v>
      </c>
    </row>
    <row r="256" spans="2:4">
      <c r="B256" s="15">
        <v>54886</v>
      </c>
      <c r="C256" s="15">
        <v>45658</v>
      </c>
      <c r="D256" s="10">
        <v>47210</v>
      </c>
    </row>
    <row r="257" spans="2:4">
      <c r="B257" s="16">
        <v>54889</v>
      </c>
      <c r="C257" s="16">
        <v>45677</v>
      </c>
      <c r="D257" s="9">
        <v>47245</v>
      </c>
    </row>
    <row r="258" spans="2:4">
      <c r="B258" s="15">
        <v>55148</v>
      </c>
      <c r="C258" s="15">
        <v>45705</v>
      </c>
      <c r="D258" s="10">
        <v>47266</v>
      </c>
    </row>
    <row r="259" spans="2:4">
      <c r="B259" s="16">
        <v>55243</v>
      </c>
      <c r="C259" s="16">
        <v>45803</v>
      </c>
      <c r="D259" s="9">
        <v>47357</v>
      </c>
    </row>
    <row r="260" spans="2:4">
      <c r="B260" s="15">
        <v>55246</v>
      </c>
      <c r="C260" s="15">
        <v>45842</v>
      </c>
      <c r="D260" s="10">
        <v>47477</v>
      </c>
    </row>
    <row r="261" spans="2:4">
      <c r="B261" s="16">
        <v>55274</v>
      </c>
      <c r="C261" s="16">
        <v>45901</v>
      </c>
      <c r="D261" s="9">
        <v>47478</v>
      </c>
    </row>
    <row r="262" spans="2:4">
      <c r="B262" s="15">
        <v>55512</v>
      </c>
      <c r="C262" s="15">
        <v>45943</v>
      </c>
      <c r="D262" s="10">
        <v>47484</v>
      </c>
    </row>
    <row r="263" spans="2:4">
      <c r="B263" s="16">
        <v>55513</v>
      </c>
      <c r="C263" s="16">
        <v>45972</v>
      </c>
      <c r="D263" s="9">
        <v>47592</v>
      </c>
    </row>
    <row r="264" spans="2:4">
      <c r="B264" s="15">
        <v>55519</v>
      </c>
      <c r="C264" s="15">
        <v>45988</v>
      </c>
      <c r="D264" s="10">
        <v>47595</v>
      </c>
    </row>
    <row r="265" spans="2:4">
      <c r="B265" s="16">
        <v>55628</v>
      </c>
      <c r="C265" s="16">
        <v>46016</v>
      </c>
      <c r="D265" s="9">
        <v>47609</v>
      </c>
    </row>
    <row r="266" spans="2:4">
      <c r="B266" s="15">
        <v>55631</v>
      </c>
      <c r="C266" s="15">
        <v>46023</v>
      </c>
      <c r="D266" s="10">
        <v>47630</v>
      </c>
    </row>
    <row r="267" spans="2:4">
      <c r="B267" s="16">
        <v>55640</v>
      </c>
      <c r="C267" s="16">
        <v>46041</v>
      </c>
      <c r="D267" s="9">
        <v>47721</v>
      </c>
    </row>
    <row r="268" spans="2:4">
      <c r="B268" s="15">
        <v>55878</v>
      </c>
      <c r="C268" s="15">
        <v>46069</v>
      </c>
      <c r="D268" s="10">
        <v>47842</v>
      </c>
    </row>
    <row r="269" spans="2:4">
      <c r="B269" s="16">
        <v>55879</v>
      </c>
      <c r="C269" s="16">
        <v>46167</v>
      </c>
      <c r="D269" s="9">
        <v>47843</v>
      </c>
    </row>
    <row r="270" spans="2:4">
      <c r="B270" s="15">
        <v>55885</v>
      </c>
      <c r="C270" s="15">
        <v>46272</v>
      </c>
      <c r="D270" s="10">
        <v>47849</v>
      </c>
    </row>
    <row r="271" spans="2:4">
      <c r="B271" s="16">
        <v>55978</v>
      </c>
      <c r="C271" s="16">
        <v>46307</v>
      </c>
      <c r="D271" s="9">
        <v>47949</v>
      </c>
    </row>
    <row r="272" spans="2:4">
      <c r="B272" s="15">
        <v>55981</v>
      </c>
      <c r="C272" s="15">
        <v>46337</v>
      </c>
      <c r="D272" s="10">
        <v>47952</v>
      </c>
    </row>
    <row r="273" spans="2:4">
      <c r="B273" s="16">
        <v>56005</v>
      </c>
      <c r="C273" s="16">
        <v>46352</v>
      </c>
      <c r="D273" s="9">
        <v>47973</v>
      </c>
    </row>
    <row r="274" spans="2:4">
      <c r="B274" s="15">
        <v>56243</v>
      </c>
      <c r="C274" s="15">
        <v>46381</v>
      </c>
      <c r="D274" s="10">
        <v>47994</v>
      </c>
    </row>
    <row r="275" spans="2:4">
      <c r="B275" s="16">
        <v>56244</v>
      </c>
      <c r="C275" s="16">
        <v>46388</v>
      </c>
      <c r="D275" s="9">
        <v>48085</v>
      </c>
    </row>
    <row r="276" spans="2:4">
      <c r="B276" s="15">
        <v>56250</v>
      </c>
      <c r="C276" s="15">
        <v>46405</v>
      </c>
      <c r="D276" s="10">
        <v>48207</v>
      </c>
    </row>
    <row r="277" spans="2:4">
      <c r="B277" s="16">
        <v>56335</v>
      </c>
      <c r="C277" s="16">
        <v>46433</v>
      </c>
      <c r="D277" s="9">
        <v>48208</v>
      </c>
    </row>
    <row r="278" spans="2:4">
      <c r="B278" s="15">
        <v>56338</v>
      </c>
      <c r="C278" s="15">
        <v>46538</v>
      </c>
      <c r="D278" s="10">
        <v>48214</v>
      </c>
    </row>
    <row r="279" spans="2:4">
      <c r="B279" s="16">
        <v>56370</v>
      </c>
      <c r="C279" s="16">
        <v>46573</v>
      </c>
      <c r="D279" s="9">
        <v>48299</v>
      </c>
    </row>
    <row r="280" spans="2:4">
      <c r="B280" s="15">
        <v>56608</v>
      </c>
      <c r="C280" s="15">
        <v>46636</v>
      </c>
      <c r="D280" s="10">
        <v>48302</v>
      </c>
    </row>
    <row r="281" spans="2:4">
      <c r="B281" s="16">
        <v>56615</v>
      </c>
      <c r="C281" s="16">
        <v>46671</v>
      </c>
      <c r="D281" s="9">
        <v>48337</v>
      </c>
    </row>
    <row r="282" spans="2:4">
      <c r="B282" s="15">
        <v>56720</v>
      </c>
      <c r="C282" s="15">
        <v>46702</v>
      </c>
      <c r="D282" s="10">
        <v>48365</v>
      </c>
    </row>
    <row r="283" spans="2:4">
      <c r="B283" s="16">
        <v>56723</v>
      </c>
      <c r="C283" s="16">
        <v>46716</v>
      </c>
      <c r="D283" s="9">
        <v>48456</v>
      </c>
    </row>
    <row r="284" spans="2:4">
      <c r="B284" s="15">
        <v>57070</v>
      </c>
      <c r="C284" s="15">
        <v>46769</v>
      </c>
      <c r="D284" s="10">
        <v>48575</v>
      </c>
    </row>
    <row r="285" spans="2:4">
      <c r="B285" s="16">
        <v>57073</v>
      </c>
      <c r="C285" s="16">
        <v>46804</v>
      </c>
      <c r="D285" s="9">
        <v>48576</v>
      </c>
    </row>
    <row r="286" spans="2:4">
      <c r="B286" s="15">
        <v>57101</v>
      </c>
      <c r="C286" s="15">
        <v>46902</v>
      </c>
      <c r="D286" s="10">
        <v>48582</v>
      </c>
    </row>
    <row r="287" spans="2:4">
      <c r="B287" s="16">
        <v>57339</v>
      </c>
      <c r="C287" s="16">
        <v>46938</v>
      </c>
      <c r="D287" s="9">
        <v>48684</v>
      </c>
    </row>
    <row r="288" spans="2:4">
      <c r="B288" s="15">
        <v>57340</v>
      </c>
      <c r="C288" s="15">
        <v>47000</v>
      </c>
      <c r="D288" s="10">
        <v>48687</v>
      </c>
    </row>
    <row r="289" spans="2:4">
      <c r="B289" s="16">
        <v>57346</v>
      </c>
      <c r="C289" s="16">
        <v>47035</v>
      </c>
      <c r="D289" s="9">
        <v>48701</v>
      </c>
    </row>
    <row r="290" spans="2:4">
      <c r="B290" s="15">
        <v>57455</v>
      </c>
      <c r="C290" s="15">
        <v>47080</v>
      </c>
      <c r="D290" s="10">
        <v>48729</v>
      </c>
    </row>
    <row r="291" spans="2:4">
      <c r="B291" s="16">
        <v>57458</v>
      </c>
      <c r="C291" s="16">
        <v>47112</v>
      </c>
      <c r="D291" s="9">
        <v>48820</v>
      </c>
    </row>
    <row r="292" spans="2:4">
      <c r="B292" s="15">
        <v>57466</v>
      </c>
      <c r="C292" s="15">
        <v>47119</v>
      </c>
      <c r="D292" s="10">
        <v>48939</v>
      </c>
    </row>
    <row r="293" spans="2:4">
      <c r="B293" s="16">
        <v>57704</v>
      </c>
      <c r="C293" s="16">
        <v>47133</v>
      </c>
      <c r="D293" s="9">
        <v>48940</v>
      </c>
    </row>
    <row r="294" spans="2:4">
      <c r="B294" s="15">
        <v>57705</v>
      </c>
      <c r="C294" s="15">
        <v>47168</v>
      </c>
      <c r="D294" s="10">
        <v>48946</v>
      </c>
    </row>
    <row r="295" spans="2:4">
      <c r="B295" s="16">
        <v>57711</v>
      </c>
      <c r="C295" s="16">
        <v>47266</v>
      </c>
      <c r="D295" s="9">
        <v>49041</v>
      </c>
    </row>
    <row r="296" spans="2:4">
      <c r="B296" s="15">
        <v>57812</v>
      </c>
      <c r="C296" s="15">
        <v>47303</v>
      </c>
      <c r="D296" s="10">
        <v>49044</v>
      </c>
    </row>
    <row r="297" spans="2:4">
      <c r="B297" s="16">
        <v>57815</v>
      </c>
      <c r="C297" s="16">
        <v>47364</v>
      </c>
      <c r="D297" s="9">
        <v>49065</v>
      </c>
    </row>
    <row r="298" spans="2:4">
      <c r="B298" s="15">
        <v>57831</v>
      </c>
      <c r="C298" s="15">
        <v>47399</v>
      </c>
      <c r="D298" s="10">
        <v>49093</v>
      </c>
    </row>
    <row r="299" spans="2:4">
      <c r="B299" s="16">
        <v>58069</v>
      </c>
      <c r="C299" s="16">
        <v>47434</v>
      </c>
      <c r="D299" s="9">
        <v>49184</v>
      </c>
    </row>
    <row r="300" spans="2:4">
      <c r="B300" s="15">
        <v>58070</v>
      </c>
      <c r="C300" s="15">
        <v>47444</v>
      </c>
      <c r="D300" s="10">
        <v>49303</v>
      </c>
    </row>
    <row r="301" spans="2:4">
      <c r="B301" s="16">
        <v>58076</v>
      </c>
      <c r="C301" s="16">
        <v>47477</v>
      </c>
      <c r="D301" s="9">
        <v>49304</v>
      </c>
    </row>
    <row r="302" spans="2:4">
      <c r="B302" s="15">
        <v>58162</v>
      </c>
      <c r="C302" s="15">
        <v>47484</v>
      </c>
      <c r="D302" s="10">
        <v>49310</v>
      </c>
    </row>
    <row r="303" spans="2:4">
      <c r="B303" s="16">
        <v>58165</v>
      </c>
      <c r="C303" s="16">
        <v>47504</v>
      </c>
      <c r="D303" s="9">
        <v>49391</v>
      </c>
    </row>
    <row r="304" spans="2:4">
      <c r="B304" s="15">
        <v>58196</v>
      </c>
      <c r="C304" s="15">
        <v>47532</v>
      </c>
      <c r="D304" s="10">
        <v>49394</v>
      </c>
    </row>
    <row r="305" spans="2:4">
      <c r="B305" s="16">
        <v>58434</v>
      </c>
      <c r="C305" s="16">
        <v>47630</v>
      </c>
      <c r="D305" s="9">
        <v>49436</v>
      </c>
    </row>
    <row r="306" spans="2:4">
      <c r="B306" s="15">
        <v>58435</v>
      </c>
      <c r="C306" s="15">
        <v>47668</v>
      </c>
      <c r="D306" s="10">
        <v>49457</v>
      </c>
    </row>
    <row r="307" spans="2:4">
      <c r="B307" s="16">
        <v>58441</v>
      </c>
      <c r="C307" s="16">
        <v>47728</v>
      </c>
      <c r="D307" s="9">
        <v>49548</v>
      </c>
    </row>
    <row r="308" spans="2:4">
      <c r="B308" s="15">
        <v>58547</v>
      </c>
      <c r="C308" s="15">
        <v>47770</v>
      </c>
      <c r="D308" s="10">
        <v>49668</v>
      </c>
    </row>
    <row r="309" spans="2:4">
      <c r="B309" s="16">
        <v>58550</v>
      </c>
      <c r="C309" s="16">
        <v>47798</v>
      </c>
      <c r="D309" s="9">
        <v>49669</v>
      </c>
    </row>
    <row r="310" spans="2:4">
      <c r="B310" s="15">
        <v>58904</v>
      </c>
      <c r="C310" s="15">
        <v>47815</v>
      </c>
      <c r="D310" s="10">
        <v>49675</v>
      </c>
    </row>
    <row r="311" spans="2:4">
      <c r="B311" s="16">
        <v>58907</v>
      </c>
      <c r="C311" s="16">
        <v>47842</v>
      </c>
      <c r="D311" s="9">
        <v>49776</v>
      </c>
    </row>
    <row r="312" spans="2:4">
      <c r="B312" s="15">
        <v>59166</v>
      </c>
      <c r="C312" s="15">
        <v>47849</v>
      </c>
      <c r="D312" s="10">
        <v>49779</v>
      </c>
    </row>
    <row r="313" spans="2:4">
      <c r="B313" s="16">
        <v>59254</v>
      </c>
      <c r="C313" s="16">
        <v>47868</v>
      </c>
      <c r="D313" s="9">
        <v>49800</v>
      </c>
    </row>
    <row r="314" spans="2:4">
      <c r="B314" s="15">
        <v>59257</v>
      </c>
      <c r="C314" s="15">
        <v>47896</v>
      </c>
      <c r="D314" s="10">
        <v>49821</v>
      </c>
    </row>
    <row r="315" spans="2:4">
      <c r="B315" s="16">
        <v>59292</v>
      </c>
      <c r="C315" s="16">
        <v>47994</v>
      </c>
      <c r="D315" s="9">
        <v>49912</v>
      </c>
    </row>
    <row r="316" spans="2:4">
      <c r="B316" s="15">
        <v>59530</v>
      </c>
      <c r="C316" s="15">
        <v>48033</v>
      </c>
      <c r="D316" s="10">
        <v>50034</v>
      </c>
    </row>
    <row r="317" spans="2:4">
      <c r="B317" s="16">
        <v>59531</v>
      </c>
      <c r="C317" s="16">
        <v>48092</v>
      </c>
      <c r="D317" s="9">
        <v>50035</v>
      </c>
    </row>
    <row r="318" spans="2:4">
      <c r="B318" s="15">
        <v>59537</v>
      </c>
      <c r="C318" s="15">
        <v>48134</v>
      </c>
      <c r="D318" s="10">
        <v>50041</v>
      </c>
    </row>
    <row r="319" spans="2:4">
      <c r="B319" s="16">
        <v>59639</v>
      </c>
      <c r="C319" s="16">
        <v>48163</v>
      </c>
      <c r="D319" s="9">
        <v>50133</v>
      </c>
    </row>
    <row r="320" spans="2:4">
      <c r="B320" s="15">
        <v>59642</v>
      </c>
      <c r="C320" s="15">
        <v>48179</v>
      </c>
      <c r="D320" s="10">
        <v>50136</v>
      </c>
    </row>
    <row r="321" spans="2:4">
      <c r="B321" s="16">
        <v>59657</v>
      </c>
      <c r="C321" s="16">
        <v>48207</v>
      </c>
      <c r="D321" s="9">
        <v>50164</v>
      </c>
    </row>
    <row r="322" spans="2:4">
      <c r="B322" s="15">
        <v>59895</v>
      </c>
      <c r="C322" s="15">
        <v>48214</v>
      </c>
      <c r="D322" s="10">
        <v>50185</v>
      </c>
    </row>
    <row r="323" spans="2:4">
      <c r="B323" s="16">
        <v>59896</v>
      </c>
      <c r="C323" s="16">
        <v>48232</v>
      </c>
      <c r="D323" s="9">
        <v>50283</v>
      </c>
    </row>
    <row r="324" spans="2:4">
      <c r="B324" s="15">
        <v>59902</v>
      </c>
      <c r="C324" s="15">
        <v>48260</v>
      </c>
      <c r="D324" s="10">
        <v>50399</v>
      </c>
    </row>
    <row r="325" spans="2:4">
      <c r="B325" s="16">
        <v>59996</v>
      </c>
      <c r="C325" s="16">
        <v>48365</v>
      </c>
      <c r="D325" s="9">
        <v>50402</v>
      </c>
    </row>
    <row r="326" spans="2:4">
      <c r="B326" s="15">
        <v>59999</v>
      </c>
      <c r="C326" s="15">
        <v>48400</v>
      </c>
      <c r="D326" s="10">
        <v>50406</v>
      </c>
    </row>
    <row r="327" spans="2:4">
      <c r="B327" s="16">
        <v>60023</v>
      </c>
      <c r="C327" s="16">
        <v>48463</v>
      </c>
      <c r="D327" s="9">
        <v>50518</v>
      </c>
    </row>
    <row r="328" spans="2:4">
      <c r="B328" s="15">
        <v>60261</v>
      </c>
      <c r="C328" s="15">
        <v>48498</v>
      </c>
      <c r="D328" s="10">
        <v>50521</v>
      </c>
    </row>
    <row r="329" spans="2:4">
      <c r="B329" s="16">
        <v>60262</v>
      </c>
      <c r="C329" s="16">
        <v>48529</v>
      </c>
      <c r="D329" s="9">
        <v>50528</v>
      </c>
    </row>
    <row r="330" spans="2:4">
      <c r="B330" s="15">
        <v>60268</v>
      </c>
      <c r="C330" s="15">
        <v>48543</v>
      </c>
      <c r="D330" s="10">
        <v>50556</v>
      </c>
    </row>
    <row r="331" spans="2:4">
      <c r="B331" s="16">
        <v>60353</v>
      </c>
      <c r="C331" s="16">
        <v>48596</v>
      </c>
      <c r="D331" s="9">
        <v>50647</v>
      </c>
    </row>
    <row r="332" spans="2:4">
      <c r="B332" s="15">
        <v>60356</v>
      </c>
      <c r="C332" s="15">
        <v>48631</v>
      </c>
      <c r="D332" s="10">
        <v>50766</v>
      </c>
    </row>
    <row r="333" spans="2:4">
      <c r="B333" s="16">
        <v>60388</v>
      </c>
      <c r="C333" s="16">
        <v>48729</v>
      </c>
      <c r="D333" s="9">
        <v>50767</v>
      </c>
    </row>
    <row r="334" spans="2:4">
      <c r="B334" s="15">
        <v>60626</v>
      </c>
      <c r="C334" s="15">
        <v>48764</v>
      </c>
      <c r="D334" s="10">
        <v>50773</v>
      </c>
    </row>
    <row r="335" spans="2:4">
      <c r="B335" s="16">
        <v>60633</v>
      </c>
      <c r="C335" s="16">
        <v>48827</v>
      </c>
      <c r="D335" s="9">
        <v>50868</v>
      </c>
    </row>
    <row r="336" spans="2:4">
      <c r="B336" s="15">
        <v>60731</v>
      </c>
      <c r="C336" s="15">
        <v>48862</v>
      </c>
      <c r="D336" s="10">
        <v>50871</v>
      </c>
    </row>
    <row r="337" spans="2:4">
      <c r="B337" s="16">
        <v>60734</v>
      </c>
      <c r="C337" s="16">
        <v>48894</v>
      </c>
      <c r="D337" s="9">
        <v>50892</v>
      </c>
    </row>
    <row r="338" spans="2:4">
      <c r="B338" s="15">
        <v>61088</v>
      </c>
      <c r="C338" s="15">
        <v>48907</v>
      </c>
      <c r="D338" s="10">
        <v>50920</v>
      </c>
    </row>
    <row r="339" spans="2:4">
      <c r="B339" s="16">
        <v>61091</v>
      </c>
      <c r="C339" s="16">
        <v>48939</v>
      </c>
      <c r="D339" s="9">
        <v>51011</v>
      </c>
    </row>
    <row r="340" spans="2:4">
      <c r="B340" s="15">
        <v>61357</v>
      </c>
      <c r="C340" s="15">
        <v>48946</v>
      </c>
      <c r="D340" s="10">
        <v>51130</v>
      </c>
    </row>
    <row r="341" spans="2:4">
      <c r="B341" s="16">
        <v>61473</v>
      </c>
      <c r="C341" s="16">
        <v>48960</v>
      </c>
      <c r="D341" s="9">
        <v>51131</v>
      </c>
    </row>
    <row r="342" spans="2:4">
      <c r="B342" s="15">
        <v>61476</v>
      </c>
      <c r="C342" s="15">
        <v>48995</v>
      </c>
      <c r="D342" s="10">
        <v>51137</v>
      </c>
    </row>
    <row r="343" spans="2:4">
      <c r="B343" s="16">
        <v>61484</v>
      </c>
      <c r="C343" s="16">
        <v>49093</v>
      </c>
      <c r="D343" s="9">
        <v>51225</v>
      </c>
    </row>
    <row r="344" spans="2:4">
      <c r="B344" s="15">
        <v>61722</v>
      </c>
      <c r="C344" s="15">
        <v>49129</v>
      </c>
      <c r="D344" s="10">
        <v>51228</v>
      </c>
    </row>
    <row r="345" spans="2:4">
      <c r="B345" s="16">
        <v>61723</v>
      </c>
      <c r="C345" s="16">
        <v>49191</v>
      </c>
      <c r="D345" s="9">
        <v>51263</v>
      </c>
    </row>
    <row r="346" spans="2:4">
      <c r="B346" s="15">
        <v>61729</v>
      </c>
      <c r="C346" s="15">
        <v>49226</v>
      </c>
      <c r="D346" s="10">
        <v>51284</v>
      </c>
    </row>
    <row r="347" spans="2:4">
      <c r="B347" s="16">
        <v>61830</v>
      </c>
      <c r="C347" s="16">
        <v>49271</v>
      </c>
      <c r="D347" s="9">
        <v>51375</v>
      </c>
    </row>
    <row r="348" spans="2:4">
      <c r="B348" s="15">
        <v>61833</v>
      </c>
      <c r="C348" s="15">
        <v>49303</v>
      </c>
      <c r="D348" s="10">
        <v>51495</v>
      </c>
    </row>
    <row r="349" spans="2:4">
      <c r="B349" s="16">
        <v>61849</v>
      </c>
      <c r="C349" s="16">
        <v>49310</v>
      </c>
      <c r="D349" s="9">
        <v>51496</v>
      </c>
    </row>
    <row r="350" spans="2:4">
      <c r="B350" s="15">
        <v>62087</v>
      </c>
      <c r="C350" s="15">
        <v>49324</v>
      </c>
      <c r="D350" s="10">
        <v>51502</v>
      </c>
    </row>
    <row r="351" spans="2:4">
      <c r="B351" s="16">
        <v>62088</v>
      </c>
      <c r="C351" s="16">
        <v>49359</v>
      </c>
      <c r="D351" s="9">
        <v>51610</v>
      </c>
    </row>
    <row r="352" spans="2:4">
      <c r="B352" s="15">
        <v>62094</v>
      </c>
      <c r="C352" s="15">
        <v>49457</v>
      </c>
      <c r="D352" s="10">
        <v>51613</v>
      </c>
    </row>
    <row r="353" spans="2:4">
      <c r="B353" s="16">
        <v>62180</v>
      </c>
      <c r="C353" s="16">
        <v>49494</v>
      </c>
      <c r="D353" s="9">
        <v>51627</v>
      </c>
    </row>
    <row r="354" spans="2:4">
      <c r="B354" s="15">
        <v>62183</v>
      </c>
      <c r="C354" s="15">
        <v>49555</v>
      </c>
      <c r="D354" s="10">
        <v>51648</v>
      </c>
    </row>
    <row r="355" spans="2:4">
      <c r="B355" s="16">
        <v>62214</v>
      </c>
      <c r="C355" s="16">
        <v>49590</v>
      </c>
      <c r="D355" s="9">
        <v>51739</v>
      </c>
    </row>
    <row r="356" spans="2:4">
      <c r="B356" s="15">
        <v>62452</v>
      </c>
      <c r="C356" s="15">
        <v>49625</v>
      </c>
      <c r="D356" s="10">
        <v>51860</v>
      </c>
    </row>
    <row r="357" spans="2:4">
      <c r="B357" s="16">
        <v>62453</v>
      </c>
      <c r="C357" s="16">
        <v>49635</v>
      </c>
      <c r="D357" s="9">
        <v>51861</v>
      </c>
    </row>
    <row r="358" spans="2:4">
      <c r="B358" s="15">
        <v>62459</v>
      </c>
      <c r="C358" s="15">
        <v>49668</v>
      </c>
      <c r="D358" s="10">
        <v>51867</v>
      </c>
    </row>
    <row r="359" spans="2:4">
      <c r="B359" s="16">
        <v>62565</v>
      </c>
      <c r="C359" s="16">
        <v>49675</v>
      </c>
      <c r="D359" s="9">
        <v>51960</v>
      </c>
    </row>
    <row r="360" spans="2:4">
      <c r="B360" s="15">
        <v>62568</v>
      </c>
      <c r="C360" s="15">
        <v>49695</v>
      </c>
      <c r="D360" s="10">
        <v>51963</v>
      </c>
    </row>
    <row r="361" spans="2:4">
      <c r="B361" s="16">
        <v>62579</v>
      </c>
      <c r="C361" s="16">
        <v>49723</v>
      </c>
      <c r="D361" s="9">
        <v>51991</v>
      </c>
    </row>
    <row r="362" spans="2:4">
      <c r="B362" s="15">
        <v>62817</v>
      </c>
      <c r="C362" s="15">
        <v>49821</v>
      </c>
      <c r="D362" s="10">
        <v>52012</v>
      </c>
    </row>
    <row r="363" spans="2:4">
      <c r="B363" s="16">
        <v>62824</v>
      </c>
      <c r="C363" s="16">
        <v>49860</v>
      </c>
      <c r="D363" s="9">
        <v>52103</v>
      </c>
    </row>
    <row r="364" spans="2:4">
      <c r="B364" s="15">
        <v>62922</v>
      </c>
      <c r="C364" s="15">
        <v>49919</v>
      </c>
      <c r="D364" s="10">
        <v>52225</v>
      </c>
    </row>
    <row r="365" spans="2:4">
      <c r="B365" s="16">
        <v>62925</v>
      </c>
      <c r="C365" s="16">
        <v>49961</v>
      </c>
      <c r="D365" s="9">
        <v>52226</v>
      </c>
    </row>
    <row r="366" spans="2:4">
      <c r="B366" s="15">
        <v>63184</v>
      </c>
      <c r="C366" s="15">
        <v>49990</v>
      </c>
      <c r="D366" s="10">
        <v>52232</v>
      </c>
    </row>
    <row r="367" spans="2:4">
      <c r="B367" s="16">
        <v>63272</v>
      </c>
      <c r="C367" s="16">
        <v>50006</v>
      </c>
      <c r="D367" s="9">
        <v>52317</v>
      </c>
    </row>
    <row r="368" spans="2:4">
      <c r="B368" s="15">
        <v>63275</v>
      </c>
      <c r="C368" s="15">
        <v>50034</v>
      </c>
      <c r="D368" s="10">
        <v>52320</v>
      </c>
    </row>
    <row r="369" spans="2:4">
      <c r="B369" s="16">
        <v>63310</v>
      </c>
      <c r="C369" s="16">
        <v>50041</v>
      </c>
      <c r="D369" s="9">
        <v>52355</v>
      </c>
    </row>
    <row r="370" spans="2:4">
      <c r="B370" s="15">
        <v>63548</v>
      </c>
      <c r="C370" s="15">
        <v>50059</v>
      </c>
      <c r="D370" s="10">
        <v>52376</v>
      </c>
    </row>
    <row r="371" spans="2:4">
      <c r="B371" s="16">
        <v>63549</v>
      </c>
      <c r="C371" s="16">
        <v>50087</v>
      </c>
      <c r="D371" s="9">
        <v>52474</v>
      </c>
    </row>
    <row r="372" spans="2:4">
      <c r="B372" s="15">
        <v>63555</v>
      </c>
      <c r="C372" s="15">
        <v>50185</v>
      </c>
      <c r="D372" s="10">
        <v>52590</v>
      </c>
    </row>
    <row r="373" spans="2:4">
      <c r="B373" s="16">
        <v>63657</v>
      </c>
      <c r="C373" s="16">
        <v>50290</v>
      </c>
      <c r="D373" s="9">
        <v>52593</v>
      </c>
    </row>
    <row r="374" spans="2:4">
      <c r="B374" s="15">
        <v>63660</v>
      </c>
      <c r="C374" s="15">
        <v>50325</v>
      </c>
      <c r="D374" s="10">
        <v>52597</v>
      </c>
    </row>
    <row r="375" spans="2:4">
      <c r="B375" s="16">
        <v>63675</v>
      </c>
      <c r="C375" s="16">
        <v>50355</v>
      </c>
      <c r="D375" s="9">
        <v>52702</v>
      </c>
    </row>
    <row r="376" spans="2:4">
      <c r="B376" s="15">
        <v>63913</v>
      </c>
      <c r="C376" s="15">
        <v>50370</v>
      </c>
      <c r="D376" s="10">
        <v>52705</v>
      </c>
    </row>
    <row r="377" spans="2:4">
      <c r="B377" s="16">
        <v>63914</v>
      </c>
      <c r="C377" s="16">
        <v>50399</v>
      </c>
      <c r="D377" s="9">
        <v>52719</v>
      </c>
    </row>
    <row r="378" spans="2:4">
      <c r="B378" s="11"/>
      <c r="C378" s="15">
        <v>50406</v>
      </c>
      <c r="D378" s="10">
        <v>52747</v>
      </c>
    </row>
    <row r="379" spans="2:4">
      <c r="B379" s="11"/>
      <c r="C379" s="16">
        <v>50423</v>
      </c>
      <c r="D379" s="9">
        <v>52838</v>
      </c>
    </row>
    <row r="380" spans="2:4">
      <c r="B380" s="11"/>
      <c r="C380" s="15">
        <v>50451</v>
      </c>
      <c r="D380" s="10">
        <v>52957</v>
      </c>
    </row>
    <row r="381" spans="2:4">
      <c r="B381" s="11"/>
      <c r="C381" s="16">
        <v>50556</v>
      </c>
      <c r="D381" s="9">
        <v>52958</v>
      </c>
    </row>
    <row r="382" spans="2:4">
      <c r="B382" s="11"/>
      <c r="C382" s="15">
        <v>50591</v>
      </c>
      <c r="D382" s="10">
        <v>52964</v>
      </c>
    </row>
    <row r="383" spans="2:4">
      <c r="B383" s="11"/>
      <c r="C383" s="16">
        <v>50654</v>
      </c>
      <c r="D383" s="9">
        <v>53059</v>
      </c>
    </row>
    <row r="384" spans="2:4">
      <c r="B384" s="11"/>
      <c r="C384" s="15">
        <v>50689</v>
      </c>
      <c r="D384" s="10">
        <v>53062</v>
      </c>
    </row>
    <row r="385" spans="3:4">
      <c r="C385" s="16">
        <v>50720</v>
      </c>
      <c r="D385" s="9">
        <v>53083</v>
      </c>
    </row>
    <row r="386" spans="3:4">
      <c r="C386" s="15">
        <v>50734</v>
      </c>
      <c r="D386" s="10">
        <v>53111</v>
      </c>
    </row>
    <row r="387" spans="3:4">
      <c r="C387" s="16">
        <v>50787</v>
      </c>
      <c r="D387" s="9">
        <v>53202</v>
      </c>
    </row>
    <row r="388" spans="3:4">
      <c r="C388" s="15">
        <v>50822</v>
      </c>
      <c r="D388" s="10">
        <v>53321</v>
      </c>
    </row>
    <row r="389" spans="3:4">
      <c r="C389" s="16">
        <v>50920</v>
      </c>
      <c r="D389" s="9">
        <v>53322</v>
      </c>
    </row>
    <row r="390" spans="3:4">
      <c r="C390" s="15">
        <v>50955</v>
      </c>
      <c r="D390" s="10">
        <v>53328</v>
      </c>
    </row>
    <row r="391" spans="3:4">
      <c r="C391" s="16">
        <v>51018</v>
      </c>
      <c r="D391" s="9">
        <v>53409</v>
      </c>
    </row>
    <row r="392" spans="3:4">
      <c r="C392" s="15">
        <v>51053</v>
      </c>
      <c r="D392" s="10">
        <v>53412</v>
      </c>
    </row>
    <row r="393" spans="3:4">
      <c r="C393" s="16">
        <v>51085</v>
      </c>
      <c r="D393" s="9">
        <v>53454</v>
      </c>
    </row>
    <row r="394" spans="3:4">
      <c r="C394" s="15">
        <v>51098</v>
      </c>
      <c r="D394" s="10">
        <v>53475</v>
      </c>
    </row>
    <row r="395" spans="3:4">
      <c r="C395" s="16">
        <v>51130</v>
      </c>
      <c r="D395" s="9">
        <v>53566</v>
      </c>
    </row>
    <row r="396" spans="3:4">
      <c r="C396" s="15">
        <v>51137</v>
      </c>
      <c r="D396" s="10">
        <v>53686</v>
      </c>
    </row>
    <row r="397" spans="3:4">
      <c r="C397" s="16">
        <v>51151</v>
      </c>
      <c r="D397" s="9">
        <v>53687</v>
      </c>
    </row>
    <row r="398" spans="3:4">
      <c r="C398" s="15">
        <v>51186</v>
      </c>
      <c r="D398" s="10">
        <v>53693</v>
      </c>
    </row>
    <row r="399" spans="3:4">
      <c r="C399" s="16">
        <v>51284</v>
      </c>
      <c r="D399" s="9">
        <v>53794</v>
      </c>
    </row>
    <row r="400" spans="3:4">
      <c r="C400" s="15">
        <v>51321</v>
      </c>
      <c r="D400" s="10">
        <v>53797</v>
      </c>
    </row>
    <row r="401" spans="3:4">
      <c r="C401" s="16">
        <v>51382</v>
      </c>
      <c r="D401" s="9">
        <v>53818</v>
      </c>
    </row>
    <row r="402" spans="3:4">
      <c r="C402" s="15">
        <v>51417</v>
      </c>
      <c r="D402" s="10">
        <v>53839</v>
      </c>
    </row>
    <row r="403" spans="3:4">
      <c r="C403" s="16">
        <v>51452</v>
      </c>
      <c r="D403" s="9">
        <v>53930</v>
      </c>
    </row>
    <row r="404" spans="3:4">
      <c r="C404" s="15">
        <v>51462</v>
      </c>
      <c r="D404" s="10">
        <v>54051</v>
      </c>
    </row>
    <row r="405" spans="3:4">
      <c r="C405" s="16">
        <v>51495</v>
      </c>
      <c r="D405" s="9">
        <v>54052</v>
      </c>
    </row>
    <row r="406" spans="3:4">
      <c r="C406" s="15">
        <v>51502</v>
      </c>
      <c r="D406" s="10">
        <v>54058</v>
      </c>
    </row>
    <row r="407" spans="3:4">
      <c r="C407" s="16">
        <v>51522</v>
      </c>
      <c r="D407" s="9">
        <v>54151</v>
      </c>
    </row>
    <row r="408" spans="3:4">
      <c r="C408" s="15">
        <v>51550</v>
      </c>
      <c r="D408" s="10">
        <v>54154</v>
      </c>
    </row>
    <row r="409" spans="3:4">
      <c r="C409" s="16">
        <v>51648</v>
      </c>
      <c r="D409" s="9">
        <v>54182</v>
      </c>
    </row>
    <row r="410" spans="3:4">
      <c r="C410" s="15">
        <v>51686</v>
      </c>
      <c r="D410" s="10">
        <v>54203</v>
      </c>
    </row>
    <row r="411" spans="3:4">
      <c r="C411" s="16">
        <v>51746</v>
      </c>
      <c r="D411" s="9">
        <v>54301</v>
      </c>
    </row>
    <row r="412" spans="3:4">
      <c r="C412" s="15">
        <v>51788</v>
      </c>
      <c r="D412" s="10">
        <v>54417</v>
      </c>
    </row>
    <row r="413" spans="3:4">
      <c r="C413" s="16">
        <v>51816</v>
      </c>
      <c r="D413" s="9">
        <v>54420</v>
      </c>
    </row>
    <row r="414" spans="3:4">
      <c r="C414" s="15">
        <v>51833</v>
      </c>
      <c r="D414" s="10">
        <v>54424</v>
      </c>
    </row>
    <row r="415" spans="3:4">
      <c r="C415" s="16">
        <v>51860</v>
      </c>
      <c r="D415" s="9">
        <v>54529</v>
      </c>
    </row>
    <row r="416" spans="3:4">
      <c r="C416" s="15">
        <v>51867</v>
      </c>
      <c r="D416" s="10">
        <v>54532</v>
      </c>
    </row>
    <row r="417" spans="3:4">
      <c r="C417" s="16">
        <v>51886</v>
      </c>
      <c r="D417" s="9">
        <v>54546</v>
      </c>
    </row>
    <row r="418" spans="3:4">
      <c r="C418" s="15">
        <v>51914</v>
      </c>
      <c r="D418" s="10">
        <v>54574</v>
      </c>
    </row>
    <row r="419" spans="3:4">
      <c r="C419" s="16">
        <v>52012</v>
      </c>
      <c r="D419" s="9">
        <v>54665</v>
      </c>
    </row>
    <row r="420" spans="3:4">
      <c r="C420" s="15">
        <v>52051</v>
      </c>
      <c r="D420" s="10">
        <v>54784</v>
      </c>
    </row>
    <row r="421" spans="3:4">
      <c r="C421" s="16">
        <v>52110</v>
      </c>
      <c r="D421" s="9">
        <v>54785</v>
      </c>
    </row>
    <row r="422" spans="3:4">
      <c r="C422" s="15">
        <v>52152</v>
      </c>
      <c r="D422" s="10">
        <v>54791</v>
      </c>
    </row>
    <row r="423" spans="3:4">
      <c r="C423" s="16">
        <v>52181</v>
      </c>
      <c r="D423" s="9">
        <v>54886</v>
      </c>
    </row>
    <row r="424" spans="3:4">
      <c r="C424" s="15">
        <v>52197</v>
      </c>
      <c r="D424" s="10">
        <v>54889</v>
      </c>
    </row>
    <row r="425" spans="3:4">
      <c r="C425" s="16">
        <v>52225</v>
      </c>
      <c r="D425" s="9">
        <v>54910</v>
      </c>
    </row>
    <row r="426" spans="3:4">
      <c r="C426" s="15">
        <v>52232</v>
      </c>
      <c r="D426" s="10">
        <v>54938</v>
      </c>
    </row>
    <row r="427" spans="3:4">
      <c r="C427" s="16">
        <v>52250</v>
      </c>
      <c r="D427" s="9">
        <v>55029</v>
      </c>
    </row>
    <row r="428" spans="3:4">
      <c r="C428" s="15">
        <v>52278</v>
      </c>
      <c r="D428" s="10">
        <v>55148</v>
      </c>
    </row>
    <row r="429" spans="3:4">
      <c r="C429" s="16">
        <v>52376</v>
      </c>
      <c r="D429" s="9">
        <v>55149</v>
      </c>
    </row>
    <row r="430" spans="3:4">
      <c r="C430" s="15">
        <v>52481</v>
      </c>
      <c r="D430" s="10">
        <v>55155</v>
      </c>
    </row>
    <row r="431" spans="3:4">
      <c r="C431" s="16">
        <v>52516</v>
      </c>
      <c r="D431" s="9">
        <v>55243</v>
      </c>
    </row>
    <row r="432" spans="3:4">
      <c r="C432" s="15">
        <v>52546</v>
      </c>
      <c r="D432" s="10">
        <v>55246</v>
      </c>
    </row>
    <row r="433" spans="3:4">
      <c r="C433" s="16">
        <v>52561</v>
      </c>
      <c r="D433" s="9">
        <v>55274</v>
      </c>
    </row>
    <row r="434" spans="3:4">
      <c r="C434" s="15">
        <v>52590</v>
      </c>
      <c r="D434" s="10">
        <v>55302</v>
      </c>
    </row>
    <row r="435" spans="3:4">
      <c r="C435" s="16">
        <v>52597</v>
      </c>
      <c r="D435" s="9">
        <v>55393</v>
      </c>
    </row>
    <row r="436" spans="3:4">
      <c r="C436" s="15">
        <v>52614</v>
      </c>
      <c r="D436" s="10">
        <v>55512</v>
      </c>
    </row>
    <row r="437" spans="3:4">
      <c r="C437" s="16">
        <v>52642</v>
      </c>
      <c r="D437" s="9">
        <v>55513</v>
      </c>
    </row>
    <row r="438" spans="3:4">
      <c r="C438" s="15">
        <v>52747</v>
      </c>
      <c r="D438" s="10">
        <v>55519</v>
      </c>
    </row>
    <row r="439" spans="3:4">
      <c r="C439" s="16">
        <v>52782</v>
      </c>
      <c r="D439" s="9">
        <v>55628</v>
      </c>
    </row>
    <row r="440" spans="3:4">
      <c r="C440" s="15">
        <v>52845</v>
      </c>
      <c r="D440" s="10">
        <v>55631</v>
      </c>
    </row>
    <row r="441" spans="3:4">
      <c r="C441" s="16">
        <v>52880</v>
      </c>
      <c r="D441" s="9">
        <v>55645</v>
      </c>
    </row>
    <row r="442" spans="3:4">
      <c r="C442" s="15">
        <v>52912</v>
      </c>
      <c r="D442" s="10">
        <v>55666</v>
      </c>
    </row>
    <row r="443" spans="3:4">
      <c r="C443" s="16">
        <v>52925</v>
      </c>
      <c r="D443" s="9">
        <v>55757</v>
      </c>
    </row>
    <row r="444" spans="3:4">
      <c r="C444" s="15">
        <v>52957</v>
      </c>
      <c r="D444" s="10">
        <v>55878</v>
      </c>
    </row>
    <row r="445" spans="3:4">
      <c r="C445" s="16">
        <v>52964</v>
      </c>
      <c r="D445" s="9">
        <v>55879</v>
      </c>
    </row>
    <row r="446" spans="3:4">
      <c r="C446" s="15">
        <v>52978</v>
      </c>
      <c r="D446" s="10">
        <v>55885</v>
      </c>
    </row>
    <row r="447" spans="3:4">
      <c r="C447" s="16">
        <v>53013</v>
      </c>
      <c r="D447" s="9">
        <v>55978</v>
      </c>
    </row>
    <row r="448" spans="3:4">
      <c r="C448" s="15">
        <v>53111</v>
      </c>
      <c r="D448" s="10">
        <v>55981</v>
      </c>
    </row>
    <row r="449" spans="3:4">
      <c r="C449" s="16">
        <v>53147</v>
      </c>
      <c r="D449" s="9">
        <v>56009</v>
      </c>
    </row>
    <row r="450" spans="3:4">
      <c r="C450" s="15">
        <v>53209</v>
      </c>
      <c r="D450" s="10">
        <v>56030</v>
      </c>
    </row>
    <row r="451" spans="3:4">
      <c r="C451" s="16">
        <v>53244</v>
      </c>
      <c r="D451" s="9">
        <v>56121</v>
      </c>
    </row>
    <row r="452" spans="3:4">
      <c r="C452" s="15">
        <v>53289</v>
      </c>
      <c r="D452" s="10">
        <v>56243</v>
      </c>
    </row>
    <row r="453" spans="3:4">
      <c r="C453" s="16">
        <v>53321</v>
      </c>
      <c r="D453" s="9">
        <v>56244</v>
      </c>
    </row>
    <row r="454" spans="3:4">
      <c r="C454" s="15">
        <v>53328</v>
      </c>
      <c r="D454" s="10">
        <v>56250</v>
      </c>
    </row>
    <row r="455" spans="3:4">
      <c r="C455" s="16">
        <v>53342</v>
      </c>
      <c r="D455" s="9">
        <v>56335</v>
      </c>
    </row>
    <row r="456" spans="3:4">
      <c r="C456" s="15">
        <v>53377</v>
      </c>
      <c r="D456" s="10">
        <v>56338</v>
      </c>
    </row>
    <row r="457" spans="3:4">
      <c r="C457" s="16">
        <v>53475</v>
      </c>
      <c r="D457" s="9">
        <v>56373</v>
      </c>
    </row>
    <row r="458" spans="3:4">
      <c r="C458" s="15">
        <v>53512</v>
      </c>
      <c r="D458" s="10">
        <v>56394</v>
      </c>
    </row>
    <row r="459" spans="3:4">
      <c r="C459" s="16">
        <v>53573</v>
      </c>
      <c r="D459" s="9">
        <v>56492</v>
      </c>
    </row>
    <row r="460" spans="3:4">
      <c r="C460" s="15">
        <v>53608</v>
      </c>
      <c r="D460" s="10">
        <v>56608</v>
      </c>
    </row>
    <row r="461" spans="3:4">
      <c r="C461" s="16">
        <v>53643</v>
      </c>
      <c r="D461" s="9">
        <v>56611</v>
      </c>
    </row>
    <row r="462" spans="3:4">
      <c r="C462" s="15">
        <v>53653</v>
      </c>
      <c r="D462" s="10">
        <v>56615</v>
      </c>
    </row>
    <row r="463" spans="3:4">
      <c r="C463" s="16">
        <v>53686</v>
      </c>
      <c r="D463" s="9">
        <v>56720</v>
      </c>
    </row>
    <row r="464" spans="3:4">
      <c r="C464" s="15">
        <v>53693</v>
      </c>
      <c r="D464" s="10">
        <v>56723</v>
      </c>
    </row>
    <row r="465" spans="3:4">
      <c r="C465" s="16">
        <v>53713</v>
      </c>
      <c r="D465" s="9">
        <v>56737</v>
      </c>
    </row>
    <row r="466" spans="3:4">
      <c r="C466" s="15">
        <v>53741</v>
      </c>
      <c r="D466" s="10">
        <v>56765</v>
      </c>
    </row>
    <row r="467" spans="3:4">
      <c r="C467" s="16">
        <v>53839</v>
      </c>
      <c r="D467" s="9">
        <v>56856</v>
      </c>
    </row>
    <row r="468" spans="3:4">
      <c r="C468" s="15">
        <v>53877</v>
      </c>
      <c r="D468" s="10">
        <v>56975</v>
      </c>
    </row>
    <row r="469" spans="3:4">
      <c r="C469" s="16">
        <v>53937</v>
      </c>
      <c r="D469" s="9">
        <v>56976</v>
      </c>
    </row>
    <row r="470" spans="3:4">
      <c r="C470" s="15">
        <v>53979</v>
      </c>
      <c r="D470" s="10">
        <v>56982</v>
      </c>
    </row>
    <row r="471" spans="3:4">
      <c r="C471" s="16">
        <v>54007</v>
      </c>
      <c r="D471" s="9">
        <v>57070</v>
      </c>
    </row>
    <row r="472" spans="3:4">
      <c r="C472" s="15">
        <v>54024</v>
      </c>
      <c r="D472" s="10">
        <v>57073</v>
      </c>
    </row>
    <row r="473" spans="3:4">
      <c r="C473" s="16">
        <v>54051</v>
      </c>
      <c r="D473" s="9">
        <v>57101</v>
      </c>
    </row>
    <row r="474" spans="3:4">
      <c r="C474" s="15">
        <v>54058</v>
      </c>
      <c r="D474" s="10">
        <v>57129</v>
      </c>
    </row>
    <row r="475" spans="3:4">
      <c r="C475" s="16">
        <v>54077</v>
      </c>
      <c r="D475" s="9">
        <v>57220</v>
      </c>
    </row>
    <row r="476" spans="3:4">
      <c r="C476" s="15">
        <v>54105</v>
      </c>
      <c r="D476" s="10">
        <v>57339</v>
      </c>
    </row>
    <row r="477" spans="3:4">
      <c r="C477" s="16">
        <v>54203</v>
      </c>
      <c r="D477" s="9">
        <v>57340</v>
      </c>
    </row>
    <row r="478" spans="3:4">
      <c r="C478" s="15">
        <v>54308</v>
      </c>
      <c r="D478" s="10">
        <v>57346</v>
      </c>
    </row>
    <row r="479" spans="3:4">
      <c r="C479" s="16">
        <v>54343</v>
      </c>
      <c r="D479" s="9">
        <v>57455</v>
      </c>
    </row>
    <row r="480" spans="3:4">
      <c r="C480" s="15">
        <v>54373</v>
      </c>
      <c r="D480" s="10">
        <v>57458</v>
      </c>
    </row>
    <row r="481" spans="3:4">
      <c r="C481" s="16">
        <v>54388</v>
      </c>
      <c r="D481" s="9">
        <v>57472</v>
      </c>
    </row>
    <row r="482" spans="3:4">
      <c r="C482" s="15">
        <v>54417</v>
      </c>
      <c r="D482" s="10">
        <v>57493</v>
      </c>
    </row>
    <row r="483" spans="3:4">
      <c r="C483" s="16">
        <v>54424</v>
      </c>
      <c r="D483" s="9">
        <v>57584</v>
      </c>
    </row>
    <row r="484" spans="3:4">
      <c r="C484" s="15">
        <v>54441</v>
      </c>
      <c r="D484" s="10">
        <v>57704</v>
      </c>
    </row>
    <row r="485" spans="3:4">
      <c r="C485" s="16">
        <v>54469</v>
      </c>
      <c r="D485" s="9">
        <v>57705</v>
      </c>
    </row>
    <row r="486" spans="3:4">
      <c r="C486" s="15">
        <v>54574</v>
      </c>
      <c r="D486" s="10">
        <v>57711</v>
      </c>
    </row>
    <row r="487" spans="3:4">
      <c r="C487" s="16">
        <v>54609</v>
      </c>
      <c r="D487" s="9">
        <v>57812</v>
      </c>
    </row>
    <row r="488" spans="3:4">
      <c r="C488" s="15">
        <v>54672</v>
      </c>
      <c r="D488" s="10">
        <v>57815</v>
      </c>
    </row>
    <row r="489" spans="3:4">
      <c r="C489" s="16">
        <v>54707</v>
      </c>
      <c r="D489" s="9">
        <v>57836</v>
      </c>
    </row>
    <row r="490" spans="3:4">
      <c r="C490" s="15">
        <v>54738</v>
      </c>
      <c r="D490" s="10">
        <v>57857</v>
      </c>
    </row>
    <row r="491" spans="3:4">
      <c r="C491" s="16">
        <v>54752</v>
      </c>
      <c r="D491" s="9">
        <v>57948</v>
      </c>
    </row>
    <row r="492" spans="3:4">
      <c r="C492" s="15">
        <v>54805</v>
      </c>
      <c r="D492" s="10">
        <v>58069</v>
      </c>
    </row>
    <row r="493" spans="3:4">
      <c r="C493" s="16">
        <v>54840</v>
      </c>
      <c r="D493" s="9">
        <v>58070</v>
      </c>
    </row>
    <row r="494" spans="3:4">
      <c r="C494" s="15">
        <v>54938</v>
      </c>
      <c r="D494" s="10">
        <v>58076</v>
      </c>
    </row>
    <row r="495" spans="3:4">
      <c r="C495" s="16">
        <v>54973</v>
      </c>
      <c r="D495" s="9">
        <v>58162</v>
      </c>
    </row>
    <row r="496" spans="3:4">
      <c r="C496" s="15">
        <v>55036</v>
      </c>
      <c r="D496" s="10">
        <v>58165</v>
      </c>
    </row>
    <row r="497" spans="3:4">
      <c r="C497" s="16">
        <v>55071</v>
      </c>
      <c r="D497" s="9">
        <v>58200</v>
      </c>
    </row>
    <row r="498" spans="3:4">
      <c r="C498" s="15">
        <v>55103</v>
      </c>
      <c r="D498" s="10">
        <v>58221</v>
      </c>
    </row>
    <row r="499" spans="3:4">
      <c r="C499" s="16">
        <v>55116</v>
      </c>
      <c r="D499" s="9">
        <v>58312</v>
      </c>
    </row>
    <row r="500" spans="3:4">
      <c r="C500" s="15">
        <v>55148</v>
      </c>
      <c r="D500" s="10">
        <v>58434</v>
      </c>
    </row>
    <row r="501" spans="3:4">
      <c r="C501" s="16">
        <v>55155</v>
      </c>
      <c r="D501" s="9">
        <v>58435</v>
      </c>
    </row>
    <row r="502" spans="3:4">
      <c r="C502" s="15">
        <v>55169</v>
      </c>
      <c r="D502" s="10">
        <v>58441</v>
      </c>
    </row>
    <row r="503" spans="3:4">
      <c r="C503" s="16">
        <v>55204</v>
      </c>
      <c r="D503" s="9">
        <v>58547</v>
      </c>
    </row>
    <row r="504" spans="3:4">
      <c r="C504" s="15">
        <v>55302</v>
      </c>
      <c r="D504" s="10">
        <v>58550</v>
      </c>
    </row>
    <row r="505" spans="3:4">
      <c r="C505" s="16">
        <v>55338</v>
      </c>
      <c r="D505" s="9">
        <v>58564</v>
      </c>
    </row>
    <row r="506" spans="3:4">
      <c r="C506" s="15">
        <v>55400</v>
      </c>
      <c r="D506" s="10">
        <v>58592</v>
      </c>
    </row>
    <row r="507" spans="3:4">
      <c r="C507" s="16">
        <v>55435</v>
      </c>
      <c r="D507" s="9">
        <v>58683</v>
      </c>
    </row>
    <row r="508" spans="3:4">
      <c r="C508" s="15">
        <v>55480</v>
      </c>
      <c r="D508" s="10">
        <v>58802</v>
      </c>
    </row>
    <row r="509" spans="3:4">
      <c r="C509" s="16">
        <v>55512</v>
      </c>
      <c r="D509" s="9">
        <v>58803</v>
      </c>
    </row>
    <row r="510" spans="3:4">
      <c r="C510" s="15">
        <v>55519</v>
      </c>
      <c r="D510" s="10">
        <v>58809</v>
      </c>
    </row>
    <row r="511" spans="3:4">
      <c r="C511" s="16">
        <v>55533</v>
      </c>
      <c r="D511" s="9">
        <v>58904</v>
      </c>
    </row>
    <row r="512" spans="3:4">
      <c r="C512" s="15">
        <v>55568</v>
      </c>
      <c r="D512" s="10">
        <v>58907</v>
      </c>
    </row>
    <row r="513" spans="3:4">
      <c r="C513" s="16">
        <v>55666</v>
      </c>
      <c r="D513" s="9">
        <v>58928</v>
      </c>
    </row>
    <row r="514" spans="3:4">
      <c r="C514" s="15">
        <v>55704</v>
      </c>
      <c r="D514" s="10">
        <v>58956</v>
      </c>
    </row>
    <row r="515" spans="3:4">
      <c r="C515" s="16">
        <v>55764</v>
      </c>
      <c r="D515" s="9">
        <v>59047</v>
      </c>
    </row>
    <row r="516" spans="3:4">
      <c r="C516" s="15">
        <v>55806</v>
      </c>
      <c r="D516" s="10">
        <v>59166</v>
      </c>
    </row>
    <row r="517" spans="3:4">
      <c r="C517" s="16">
        <v>55834</v>
      </c>
      <c r="D517" s="9">
        <v>59167</v>
      </c>
    </row>
    <row r="518" spans="3:4">
      <c r="C518" s="15">
        <v>55851</v>
      </c>
      <c r="D518" s="10">
        <v>59173</v>
      </c>
    </row>
    <row r="519" spans="3:4">
      <c r="C519" s="16">
        <v>55878</v>
      </c>
      <c r="D519" s="9">
        <v>59254</v>
      </c>
    </row>
    <row r="520" spans="3:4">
      <c r="C520" s="15">
        <v>55885</v>
      </c>
      <c r="D520" s="10">
        <v>59257</v>
      </c>
    </row>
    <row r="521" spans="3:4">
      <c r="C521" s="16">
        <v>55904</v>
      </c>
      <c r="D521" s="9">
        <v>59292</v>
      </c>
    </row>
    <row r="522" spans="3:4">
      <c r="C522" s="15">
        <v>55932</v>
      </c>
      <c r="D522" s="10">
        <v>59320</v>
      </c>
    </row>
    <row r="523" spans="3:4">
      <c r="C523" s="16">
        <v>56030</v>
      </c>
      <c r="D523" s="9">
        <v>59411</v>
      </c>
    </row>
    <row r="524" spans="3:4">
      <c r="C524" s="15">
        <v>56069</v>
      </c>
      <c r="D524" s="10">
        <v>59530</v>
      </c>
    </row>
    <row r="525" spans="3:4">
      <c r="C525" s="16">
        <v>56128</v>
      </c>
      <c r="D525" s="9">
        <v>59531</v>
      </c>
    </row>
    <row r="526" spans="3:4">
      <c r="C526" s="15">
        <v>56170</v>
      </c>
      <c r="D526" s="10">
        <v>59537</v>
      </c>
    </row>
    <row r="527" spans="3:4">
      <c r="C527" s="16">
        <v>56199</v>
      </c>
      <c r="D527" s="9">
        <v>59639</v>
      </c>
    </row>
    <row r="528" spans="3:4">
      <c r="C528" s="15">
        <v>56215</v>
      </c>
      <c r="D528" s="10">
        <v>59642</v>
      </c>
    </row>
    <row r="529" spans="3:4">
      <c r="C529" s="16">
        <v>56243</v>
      </c>
      <c r="D529" s="9">
        <v>59663</v>
      </c>
    </row>
    <row r="530" spans="3:4">
      <c r="C530" s="15">
        <v>56250</v>
      </c>
      <c r="D530" s="10">
        <v>59684</v>
      </c>
    </row>
    <row r="531" spans="3:4">
      <c r="C531" s="16">
        <v>56268</v>
      </c>
      <c r="D531" s="9">
        <v>59775</v>
      </c>
    </row>
    <row r="532" spans="3:4">
      <c r="C532" s="15">
        <v>56296</v>
      </c>
      <c r="D532" s="10">
        <v>59895</v>
      </c>
    </row>
    <row r="533" spans="3:4">
      <c r="C533" s="16">
        <v>56394</v>
      </c>
      <c r="D533" s="9">
        <v>59896</v>
      </c>
    </row>
    <row r="534" spans="3:4">
      <c r="C534" s="15">
        <v>56499</v>
      </c>
      <c r="D534" s="10">
        <v>59902</v>
      </c>
    </row>
    <row r="535" spans="3:4">
      <c r="C535" s="16">
        <v>56534</v>
      </c>
      <c r="D535" s="9">
        <v>59996</v>
      </c>
    </row>
    <row r="536" spans="3:4">
      <c r="C536" s="15">
        <v>56564</v>
      </c>
      <c r="D536" s="10">
        <v>59999</v>
      </c>
    </row>
    <row r="537" spans="3:4">
      <c r="C537" s="16">
        <v>56579</v>
      </c>
      <c r="D537" s="9">
        <v>60027</v>
      </c>
    </row>
    <row r="538" spans="3:4">
      <c r="C538" s="15">
        <v>56608</v>
      </c>
      <c r="D538" s="10">
        <v>60048</v>
      </c>
    </row>
    <row r="539" spans="3:4">
      <c r="C539" s="16">
        <v>56615</v>
      </c>
      <c r="D539" s="9">
        <v>60139</v>
      </c>
    </row>
    <row r="540" spans="3:4">
      <c r="C540" s="15">
        <v>56632</v>
      </c>
      <c r="D540" s="10">
        <v>60261</v>
      </c>
    </row>
    <row r="541" spans="3:4">
      <c r="C541" s="16">
        <v>56660</v>
      </c>
      <c r="D541" s="9">
        <v>60262</v>
      </c>
    </row>
    <row r="542" spans="3:4">
      <c r="C542" s="15">
        <v>56765</v>
      </c>
      <c r="D542" s="10">
        <v>60268</v>
      </c>
    </row>
    <row r="543" spans="3:4">
      <c r="C543" s="16">
        <v>56800</v>
      </c>
      <c r="D543" s="9">
        <v>60353</v>
      </c>
    </row>
    <row r="544" spans="3:4">
      <c r="C544" s="15">
        <v>56863</v>
      </c>
      <c r="D544" s="10">
        <v>60356</v>
      </c>
    </row>
    <row r="545" spans="3:4">
      <c r="C545" s="16">
        <v>56898</v>
      </c>
      <c r="D545" s="9">
        <v>60391</v>
      </c>
    </row>
    <row r="546" spans="3:4">
      <c r="C546" s="15">
        <v>56929</v>
      </c>
      <c r="D546" s="10">
        <v>60412</v>
      </c>
    </row>
    <row r="547" spans="3:4">
      <c r="C547" s="16">
        <v>56943</v>
      </c>
      <c r="D547" s="9">
        <v>60510</v>
      </c>
    </row>
    <row r="548" spans="3:4">
      <c r="C548" s="15">
        <v>56996</v>
      </c>
      <c r="D548" s="10">
        <v>60626</v>
      </c>
    </row>
    <row r="549" spans="3:4">
      <c r="C549" s="16">
        <v>57031</v>
      </c>
      <c r="D549" s="9">
        <v>60629</v>
      </c>
    </row>
    <row r="550" spans="3:4">
      <c r="C550" s="15">
        <v>57129</v>
      </c>
      <c r="D550" s="10">
        <v>60633</v>
      </c>
    </row>
    <row r="551" spans="3:4">
      <c r="C551" s="16">
        <v>57165</v>
      </c>
      <c r="D551" s="9">
        <v>60731</v>
      </c>
    </row>
    <row r="552" spans="3:4">
      <c r="C552" s="15">
        <v>57227</v>
      </c>
      <c r="D552" s="10">
        <v>60734</v>
      </c>
    </row>
    <row r="553" spans="3:4">
      <c r="C553" s="16">
        <v>57262</v>
      </c>
      <c r="D553" s="9">
        <v>60755</v>
      </c>
    </row>
    <row r="554" spans="3:4">
      <c r="C554" s="15">
        <v>57307</v>
      </c>
      <c r="D554" s="10">
        <v>60783</v>
      </c>
    </row>
    <row r="555" spans="3:4">
      <c r="C555" s="16">
        <v>57339</v>
      </c>
      <c r="D555" s="9">
        <v>60874</v>
      </c>
    </row>
    <row r="556" spans="3:4">
      <c r="C556" s="15">
        <v>57346</v>
      </c>
      <c r="D556" s="10">
        <v>60993</v>
      </c>
    </row>
    <row r="557" spans="3:4">
      <c r="C557" s="16">
        <v>57360</v>
      </c>
      <c r="D557" s="9">
        <v>60994</v>
      </c>
    </row>
    <row r="558" spans="3:4">
      <c r="C558" s="15">
        <v>57395</v>
      </c>
      <c r="D558" s="10">
        <v>61000</v>
      </c>
    </row>
    <row r="559" spans="3:4">
      <c r="C559" s="16">
        <v>57493</v>
      </c>
      <c r="D559" s="9">
        <v>61088</v>
      </c>
    </row>
    <row r="560" spans="3:4">
      <c r="C560" s="15">
        <v>57530</v>
      </c>
      <c r="D560" s="10">
        <v>61091</v>
      </c>
    </row>
    <row r="561" spans="3:4">
      <c r="C561" s="16">
        <v>57591</v>
      </c>
      <c r="D561" s="9">
        <v>61119</v>
      </c>
    </row>
    <row r="562" spans="3:4">
      <c r="C562" s="15">
        <v>57626</v>
      </c>
      <c r="D562" s="10">
        <v>61147</v>
      </c>
    </row>
    <row r="563" spans="3:4">
      <c r="C563" s="16">
        <v>57661</v>
      </c>
      <c r="D563" s="9">
        <v>61238</v>
      </c>
    </row>
    <row r="564" spans="3:4">
      <c r="C564" s="15">
        <v>57671</v>
      </c>
      <c r="D564" s="10">
        <v>61357</v>
      </c>
    </row>
    <row r="565" spans="3:4">
      <c r="C565" s="16">
        <v>57704</v>
      </c>
      <c r="D565" s="9">
        <v>61358</v>
      </c>
    </row>
    <row r="566" spans="3:4">
      <c r="C566" s="15">
        <v>57711</v>
      </c>
      <c r="D566" s="10">
        <v>61364</v>
      </c>
    </row>
    <row r="567" spans="3:4">
      <c r="C567" s="16">
        <v>57731</v>
      </c>
      <c r="D567" s="9">
        <v>61473</v>
      </c>
    </row>
    <row r="568" spans="3:4">
      <c r="C568" s="15">
        <v>57759</v>
      </c>
      <c r="D568" s="10">
        <v>61476</v>
      </c>
    </row>
    <row r="569" spans="3:4">
      <c r="C569" s="16">
        <v>57857</v>
      </c>
      <c r="D569" s="9">
        <v>61490</v>
      </c>
    </row>
    <row r="570" spans="3:4">
      <c r="C570" s="15">
        <v>57895</v>
      </c>
      <c r="D570" s="10">
        <v>61511</v>
      </c>
    </row>
    <row r="571" spans="3:4">
      <c r="C571" s="16">
        <v>57955</v>
      </c>
      <c r="D571" s="9">
        <v>61602</v>
      </c>
    </row>
    <row r="572" spans="3:4">
      <c r="C572" s="15">
        <v>57997</v>
      </c>
      <c r="D572" s="10">
        <v>61722</v>
      </c>
    </row>
    <row r="573" spans="3:4">
      <c r="C573" s="16">
        <v>58025</v>
      </c>
      <c r="D573" s="9">
        <v>61723</v>
      </c>
    </row>
    <row r="574" spans="3:4">
      <c r="C574" s="15">
        <v>58042</v>
      </c>
      <c r="D574" s="10">
        <v>61729</v>
      </c>
    </row>
    <row r="575" spans="3:4">
      <c r="C575" s="16">
        <v>58069</v>
      </c>
      <c r="D575" s="9">
        <v>61830</v>
      </c>
    </row>
    <row r="576" spans="3:4">
      <c r="C576" s="15">
        <v>58076</v>
      </c>
      <c r="D576" s="10">
        <v>61833</v>
      </c>
    </row>
    <row r="577" spans="3:4">
      <c r="C577" s="16">
        <v>58095</v>
      </c>
      <c r="D577" s="9">
        <v>61854</v>
      </c>
    </row>
    <row r="578" spans="3:4">
      <c r="C578" s="15">
        <v>58123</v>
      </c>
      <c r="D578" s="10">
        <v>61875</v>
      </c>
    </row>
    <row r="579" spans="3:4">
      <c r="C579" s="16">
        <v>58221</v>
      </c>
      <c r="D579" s="9">
        <v>61966</v>
      </c>
    </row>
    <row r="580" spans="3:4">
      <c r="C580" s="15">
        <v>58260</v>
      </c>
      <c r="D580" s="10">
        <v>62087</v>
      </c>
    </row>
    <row r="581" spans="3:4">
      <c r="C581" s="16">
        <v>58319</v>
      </c>
      <c r="D581" s="9">
        <v>62088</v>
      </c>
    </row>
    <row r="582" spans="3:4">
      <c r="C582" s="15">
        <v>58361</v>
      </c>
      <c r="D582" s="10">
        <v>62094</v>
      </c>
    </row>
    <row r="583" spans="3:4">
      <c r="C583" s="16">
        <v>58390</v>
      </c>
      <c r="D583" s="9">
        <v>62180</v>
      </c>
    </row>
    <row r="584" spans="3:4">
      <c r="C584" s="15">
        <v>58406</v>
      </c>
      <c r="D584" s="10">
        <v>62183</v>
      </c>
    </row>
    <row r="585" spans="3:4">
      <c r="C585" s="16">
        <v>58434</v>
      </c>
      <c r="D585" s="9">
        <v>62218</v>
      </c>
    </row>
    <row r="586" spans="3:4">
      <c r="C586" s="15">
        <v>58441</v>
      </c>
      <c r="D586" s="10">
        <v>62239</v>
      </c>
    </row>
    <row r="587" spans="3:4">
      <c r="C587" s="16">
        <v>58459</v>
      </c>
      <c r="D587" s="9">
        <v>62330</v>
      </c>
    </row>
    <row r="588" spans="3:4">
      <c r="C588" s="15">
        <v>58487</v>
      </c>
      <c r="D588" s="10">
        <v>62452</v>
      </c>
    </row>
    <row r="589" spans="3:4">
      <c r="C589" s="16">
        <v>58592</v>
      </c>
      <c r="D589" s="9">
        <v>62453</v>
      </c>
    </row>
    <row r="590" spans="3:4">
      <c r="C590" s="15">
        <v>58627</v>
      </c>
      <c r="D590" s="10">
        <v>62459</v>
      </c>
    </row>
    <row r="591" spans="3:4">
      <c r="C591" s="16">
        <v>58690</v>
      </c>
      <c r="D591" s="9">
        <v>62565</v>
      </c>
    </row>
    <row r="592" spans="3:4">
      <c r="C592" s="15">
        <v>58725</v>
      </c>
      <c r="D592" s="10">
        <v>62568</v>
      </c>
    </row>
    <row r="593" spans="3:4">
      <c r="C593" s="16">
        <v>58756</v>
      </c>
      <c r="D593" s="9">
        <v>62582</v>
      </c>
    </row>
    <row r="594" spans="3:4">
      <c r="C594" s="15">
        <v>58770</v>
      </c>
      <c r="D594" s="10">
        <v>62603</v>
      </c>
    </row>
    <row r="595" spans="3:4">
      <c r="C595" s="16">
        <v>58823</v>
      </c>
      <c r="D595" s="9">
        <v>62701</v>
      </c>
    </row>
    <row r="596" spans="3:4">
      <c r="C596" s="15">
        <v>58858</v>
      </c>
      <c r="D596" s="10">
        <v>62817</v>
      </c>
    </row>
    <row r="597" spans="3:4">
      <c r="C597" s="16">
        <v>58956</v>
      </c>
      <c r="D597" s="9">
        <v>62820</v>
      </c>
    </row>
    <row r="598" spans="3:4">
      <c r="C598" s="15">
        <v>58991</v>
      </c>
      <c r="D598" s="10">
        <v>62824</v>
      </c>
    </row>
    <row r="599" spans="3:4">
      <c r="C599" s="16">
        <v>59054</v>
      </c>
      <c r="D599" s="9">
        <v>62922</v>
      </c>
    </row>
    <row r="600" spans="3:4">
      <c r="C600" s="15">
        <v>59089</v>
      </c>
      <c r="D600" s="10">
        <v>62925</v>
      </c>
    </row>
    <row r="601" spans="3:4">
      <c r="C601" s="16">
        <v>59121</v>
      </c>
      <c r="D601" s="9">
        <v>62946</v>
      </c>
    </row>
    <row r="602" spans="3:4">
      <c r="C602" s="15">
        <v>59134</v>
      </c>
      <c r="D602" s="10">
        <v>62974</v>
      </c>
    </row>
    <row r="603" spans="3:4">
      <c r="C603" s="16">
        <v>59166</v>
      </c>
      <c r="D603" s="9">
        <v>63065</v>
      </c>
    </row>
    <row r="604" spans="3:4">
      <c r="C604" s="15">
        <v>59173</v>
      </c>
      <c r="D604" s="10">
        <v>63184</v>
      </c>
    </row>
    <row r="605" spans="3:4">
      <c r="C605" s="16">
        <v>59187</v>
      </c>
      <c r="D605" s="9">
        <v>63185</v>
      </c>
    </row>
    <row r="606" spans="3:4">
      <c r="C606" s="15">
        <v>59222</v>
      </c>
      <c r="D606" s="10">
        <v>63191</v>
      </c>
    </row>
    <row r="607" spans="3:4">
      <c r="C607" s="16">
        <v>59320</v>
      </c>
      <c r="D607" s="9">
        <v>63272</v>
      </c>
    </row>
    <row r="608" spans="3:4">
      <c r="C608" s="15">
        <v>59356</v>
      </c>
      <c r="D608" s="10">
        <v>63275</v>
      </c>
    </row>
    <row r="609" spans="3:4">
      <c r="C609" s="16">
        <v>59418</v>
      </c>
      <c r="D609" s="9">
        <v>63310</v>
      </c>
    </row>
    <row r="610" spans="3:4">
      <c r="C610" s="15">
        <v>59453</v>
      </c>
      <c r="D610" s="10">
        <v>63338</v>
      </c>
    </row>
    <row r="611" spans="3:4">
      <c r="C611" s="16">
        <v>59498</v>
      </c>
      <c r="D611" s="9">
        <v>63429</v>
      </c>
    </row>
    <row r="612" spans="3:4">
      <c r="C612" s="15">
        <v>59530</v>
      </c>
      <c r="D612" s="10">
        <v>63548</v>
      </c>
    </row>
    <row r="613" spans="3:4">
      <c r="C613" s="16">
        <v>59537</v>
      </c>
      <c r="D613" s="9">
        <v>63549</v>
      </c>
    </row>
    <row r="614" spans="3:4">
      <c r="C614" s="15">
        <v>59551</v>
      </c>
    </row>
    <row r="615" spans="3:4">
      <c r="C615" s="16">
        <v>59586</v>
      </c>
    </row>
    <row r="616" spans="3:4">
      <c r="C616" s="15">
        <v>59684</v>
      </c>
    </row>
    <row r="617" spans="3:4">
      <c r="C617" s="16">
        <v>59721</v>
      </c>
    </row>
    <row r="618" spans="3:4">
      <c r="C618" s="15">
        <v>59782</v>
      </c>
    </row>
    <row r="619" spans="3:4">
      <c r="C619" s="16">
        <v>59817</v>
      </c>
    </row>
    <row r="620" spans="3:4">
      <c r="C620" s="15">
        <v>59852</v>
      </c>
    </row>
    <row r="621" spans="3:4">
      <c r="C621" s="16">
        <v>59862</v>
      </c>
    </row>
    <row r="622" spans="3:4">
      <c r="C622" s="15">
        <v>59895</v>
      </c>
    </row>
    <row r="623" spans="3:4">
      <c r="C623" s="16">
        <v>59902</v>
      </c>
    </row>
    <row r="624" spans="3:4">
      <c r="C624" s="15">
        <v>59922</v>
      </c>
    </row>
    <row r="625" spans="3:3">
      <c r="C625" s="16">
        <v>59950</v>
      </c>
    </row>
    <row r="626" spans="3:3">
      <c r="C626" s="15">
        <v>60048</v>
      </c>
    </row>
    <row r="627" spans="3:3">
      <c r="C627" s="16">
        <v>60087</v>
      </c>
    </row>
    <row r="628" spans="3:3">
      <c r="C628" s="15">
        <v>60146</v>
      </c>
    </row>
    <row r="629" spans="3:3">
      <c r="C629" s="16">
        <v>60188</v>
      </c>
    </row>
    <row r="630" spans="3:3">
      <c r="C630" s="15">
        <v>60217</v>
      </c>
    </row>
    <row r="631" spans="3:3">
      <c r="C631" s="16">
        <v>60233</v>
      </c>
    </row>
    <row r="632" spans="3:3">
      <c r="C632" s="15">
        <v>60261</v>
      </c>
    </row>
    <row r="633" spans="3:3">
      <c r="C633" s="16">
        <v>60268</v>
      </c>
    </row>
    <row r="634" spans="3:3">
      <c r="C634" s="15">
        <v>60286</v>
      </c>
    </row>
    <row r="635" spans="3:3">
      <c r="C635" s="16">
        <v>60314</v>
      </c>
    </row>
    <row r="636" spans="3:3">
      <c r="C636" s="15">
        <v>60412</v>
      </c>
    </row>
    <row r="637" spans="3:3">
      <c r="C637" s="16">
        <v>60517</v>
      </c>
    </row>
    <row r="638" spans="3:3">
      <c r="C638" s="15">
        <v>60552</v>
      </c>
    </row>
    <row r="639" spans="3:3">
      <c r="C639" s="16">
        <v>60582</v>
      </c>
    </row>
    <row r="640" spans="3:3">
      <c r="C640" s="15">
        <v>60597</v>
      </c>
    </row>
    <row r="641" spans="3:3">
      <c r="C641" s="16">
        <v>60626</v>
      </c>
    </row>
    <row r="642" spans="3:3">
      <c r="C642" s="15">
        <v>60633</v>
      </c>
    </row>
    <row r="643" spans="3:3">
      <c r="C643" s="16">
        <v>60650</v>
      </c>
    </row>
    <row r="644" spans="3:3">
      <c r="C644" s="15">
        <v>60678</v>
      </c>
    </row>
    <row r="645" spans="3:3">
      <c r="C645" s="16">
        <v>60783</v>
      </c>
    </row>
    <row r="646" spans="3:3">
      <c r="C646" s="15">
        <v>60818</v>
      </c>
    </row>
    <row r="647" spans="3:3">
      <c r="C647" s="16">
        <v>60881</v>
      </c>
    </row>
    <row r="648" spans="3:3">
      <c r="C648" s="15">
        <v>60916</v>
      </c>
    </row>
    <row r="649" spans="3:3">
      <c r="C649" s="16">
        <v>60947</v>
      </c>
    </row>
    <row r="650" spans="3:3">
      <c r="C650" s="15">
        <v>60961</v>
      </c>
    </row>
    <row r="651" spans="3:3">
      <c r="C651" s="16">
        <v>61014</v>
      </c>
    </row>
    <row r="652" spans="3:3">
      <c r="C652" s="15">
        <v>61049</v>
      </c>
    </row>
    <row r="653" spans="3:3">
      <c r="C653" s="16">
        <v>61147</v>
      </c>
    </row>
    <row r="654" spans="3:3">
      <c r="C654" s="15">
        <v>61182</v>
      </c>
    </row>
    <row r="655" spans="3:3">
      <c r="C655" s="16">
        <v>61245</v>
      </c>
    </row>
    <row r="656" spans="3:3">
      <c r="C656" s="15">
        <v>61280</v>
      </c>
    </row>
    <row r="657" spans="3:3">
      <c r="C657" s="16">
        <v>61312</v>
      </c>
    </row>
    <row r="658" spans="3:3">
      <c r="C658" s="15">
        <v>61325</v>
      </c>
    </row>
    <row r="659" spans="3:3">
      <c r="C659" s="16">
        <v>61357</v>
      </c>
    </row>
    <row r="660" spans="3:3">
      <c r="C660" s="15">
        <v>61364</v>
      </c>
    </row>
    <row r="661" spans="3:3">
      <c r="C661" s="16">
        <v>61378</v>
      </c>
    </row>
    <row r="662" spans="3:3">
      <c r="C662" s="15">
        <v>61413</v>
      </c>
    </row>
    <row r="663" spans="3:3">
      <c r="C663" s="16">
        <v>61511</v>
      </c>
    </row>
    <row r="664" spans="3:3">
      <c r="C664" s="15">
        <v>61548</v>
      </c>
    </row>
    <row r="665" spans="3:3">
      <c r="C665" s="16">
        <v>61609</v>
      </c>
    </row>
    <row r="666" spans="3:3">
      <c r="C666" s="15">
        <v>61644</v>
      </c>
    </row>
    <row r="667" spans="3:3">
      <c r="C667" s="16">
        <v>61679</v>
      </c>
    </row>
    <row r="668" spans="3:3">
      <c r="C668" s="15">
        <v>61689</v>
      </c>
    </row>
    <row r="669" spans="3:3">
      <c r="C669" s="16">
        <v>61722</v>
      </c>
    </row>
    <row r="670" spans="3:3">
      <c r="C670" s="15">
        <v>61729</v>
      </c>
    </row>
    <row r="671" spans="3:3">
      <c r="C671" s="16">
        <v>61749</v>
      </c>
    </row>
    <row r="672" spans="3:3">
      <c r="C672" s="15">
        <v>61777</v>
      </c>
    </row>
    <row r="673" spans="3:3">
      <c r="C673" s="16">
        <v>61875</v>
      </c>
    </row>
    <row r="674" spans="3:3">
      <c r="C674" s="15">
        <v>61913</v>
      </c>
    </row>
    <row r="675" spans="3:3">
      <c r="C675" s="16">
        <v>61973</v>
      </c>
    </row>
    <row r="676" spans="3:3">
      <c r="C676" s="15">
        <v>62015</v>
      </c>
    </row>
    <row r="677" spans="3:3">
      <c r="C677" s="16">
        <v>62043</v>
      </c>
    </row>
    <row r="678" spans="3:3">
      <c r="C678" s="15">
        <v>62060</v>
      </c>
    </row>
    <row r="679" spans="3:3">
      <c r="C679" s="16">
        <v>62087</v>
      </c>
    </row>
    <row r="680" spans="3:3">
      <c r="C680" s="15">
        <v>62094</v>
      </c>
    </row>
    <row r="681" spans="3:3">
      <c r="C681" s="16">
        <v>62113</v>
      </c>
    </row>
    <row r="682" spans="3:3">
      <c r="C682" s="15">
        <v>62141</v>
      </c>
    </row>
    <row r="683" spans="3:3">
      <c r="C683" s="16">
        <v>62239</v>
      </c>
    </row>
    <row r="684" spans="3:3">
      <c r="C684" s="15">
        <v>62278</v>
      </c>
    </row>
    <row r="685" spans="3:3">
      <c r="C685" s="16">
        <v>62337</v>
      </c>
    </row>
    <row r="686" spans="3:3">
      <c r="C686" s="15">
        <v>62379</v>
      </c>
    </row>
    <row r="687" spans="3:3">
      <c r="C687" s="16">
        <v>62408</v>
      </c>
    </row>
    <row r="688" spans="3:3">
      <c r="C688" s="15">
        <v>62424</v>
      </c>
    </row>
    <row r="689" spans="3:3">
      <c r="C689" s="16">
        <v>62452</v>
      </c>
    </row>
    <row r="690" spans="3:3">
      <c r="C690" s="15">
        <v>62459</v>
      </c>
    </row>
    <row r="691" spans="3:3">
      <c r="C691" s="16">
        <v>62477</v>
      </c>
    </row>
    <row r="692" spans="3:3">
      <c r="C692" s="15">
        <v>62505</v>
      </c>
    </row>
    <row r="693" spans="3:3">
      <c r="C693" s="16">
        <v>62603</v>
      </c>
    </row>
    <row r="694" spans="3:3">
      <c r="C694" s="15">
        <v>62708</v>
      </c>
    </row>
    <row r="695" spans="3:3">
      <c r="C695" s="16">
        <v>62743</v>
      </c>
    </row>
    <row r="696" spans="3:3">
      <c r="C696" s="15">
        <v>62773</v>
      </c>
    </row>
    <row r="697" spans="3:3">
      <c r="C697" s="16">
        <v>62788</v>
      </c>
    </row>
    <row r="698" spans="3:3">
      <c r="C698" s="15">
        <v>62817</v>
      </c>
    </row>
    <row r="699" spans="3:3">
      <c r="C699" s="16">
        <v>62824</v>
      </c>
    </row>
    <row r="700" spans="3:3">
      <c r="C700" s="15">
        <v>62841</v>
      </c>
    </row>
    <row r="701" spans="3:3">
      <c r="C701" s="16">
        <v>62869</v>
      </c>
    </row>
    <row r="702" spans="3:3">
      <c r="C702" s="15">
        <v>62974</v>
      </c>
    </row>
    <row r="703" spans="3:3">
      <c r="C703" s="16">
        <v>63009</v>
      </c>
    </row>
    <row r="704" spans="3:3">
      <c r="C704" s="15">
        <v>63072</v>
      </c>
    </row>
    <row r="705" spans="3:3">
      <c r="C705" s="16">
        <v>63107</v>
      </c>
    </row>
    <row r="706" spans="3:3">
      <c r="C706" s="15">
        <v>63139</v>
      </c>
    </row>
    <row r="707" spans="3:3">
      <c r="C707" s="16">
        <v>63152</v>
      </c>
    </row>
    <row r="708" spans="3:3">
      <c r="C708" s="15">
        <v>63184</v>
      </c>
    </row>
    <row r="709" spans="3:3">
      <c r="C709" s="16">
        <v>63191</v>
      </c>
    </row>
    <row r="710" spans="3:3">
      <c r="C710" s="15">
        <v>63205</v>
      </c>
    </row>
    <row r="711" spans="3:3">
      <c r="C711" s="16">
        <v>63240</v>
      </c>
    </row>
    <row r="712" spans="3:3">
      <c r="C712" s="15">
        <v>63338</v>
      </c>
    </row>
    <row r="713" spans="3:3">
      <c r="C713" s="16">
        <v>63374</v>
      </c>
    </row>
    <row r="714" spans="3:3">
      <c r="C714" s="15">
        <v>63436</v>
      </c>
    </row>
    <row r="715" spans="3:3">
      <c r="C715" s="16">
        <v>63471</v>
      </c>
    </row>
    <row r="716" spans="3:3">
      <c r="C716" s="15">
        <v>63516</v>
      </c>
    </row>
    <row r="717" spans="3:3">
      <c r="C717" s="16">
        <v>63548</v>
      </c>
    </row>
    <row r="718" spans="3:3">
      <c r="C718" s="15">
        <v>63555</v>
      </c>
    </row>
    <row r="719" spans="3:3">
      <c r="C719" s="16">
        <v>63569</v>
      </c>
    </row>
    <row r="720" spans="3:3">
      <c r="C720" s="15">
        <v>63604</v>
      </c>
    </row>
    <row r="721" spans="3:3">
      <c r="C721" s="16">
        <v>63702</v>
      </c>
    </row>
    <row r="722" spans="3:3">
      <c r="C722" s="15">
        <v>63739</v>
      </c>
    </row>
    <row r="723" spans="3:3">
      <c r="C723" s="16">
        <v>63800</v>
      </c>
    </row>
    <row r="724" spans="3:3">
      <c r="C724" s="15">
        <v>63835</v>
      </c>
    </row>
    <row r="725" spans="3:3">
      <c r="C725" s="16">
        <v>63870</v>
      </c>
    </row>
    <row r="726" spans="3:3">
      <c r="C726" s="15">
        <v>63880</v>
      </c>
    </row>
    <row r="727" spans="3:3">
      <c r="C727" s="16">
        <v>63913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34"/>
  <sheetViews>
    <sheetView topLeftCell="A119" workbookViewId="0">
      <selection activeCell="C134" sqref="C134"/>
    </sheetView>
  </sheetViews>
  <sheetFormatPr defaultRowHeight="15"/>
  <cols>
    <col min="1" max="1" width="13.7109375" customWidth="1"/>
    <col min="2" max="2" width="13.5703125" bestFit="1" customWidth="1"/>
    <col min="3" max="3" width="10.7109375" bestFit="1" customWidth="1"/>
    <col min="4" max="4" width="8.85546875" bestFit="1" customWidth="1"/>
    <col min="5" max="5" width="23.140625" bestFit="1" customWidth="1"/>
    <col min="6" max="6" width="13.140625" bestFit="1" customWidth="1"/>
    <col min="7" max="7" width="14.28515625" bestFit="1" customWidth="1"/>
    <col min="8" max="8" width="13.5703125" bestFit="1" customWidth="1"/>
    <col min="9" max="9" width="14.28515625" bestFit="1" customWidth="1"/>
  </cols>
  <sheetData>
    <row r="1" spans="1:9">
      <c r="A1" s="254" t="s">
        <v>346</v>
      </c>
      <c r="B1" s="251" t="s">
        <v>270</v>
      </c>
      <c r="C1" s="251" t="s">
        <v>271</v>
      </c>
      <c r="D1" s="251" t="s">
        <v>31</v>
      </c>
      <c r="E1" s="251" t="s">
        <v>272</v>
      </c>
      <c r="F1" s="251" t="s">
        <v>272</v>
      </c>
      <c r="G1" s="251" t="s">
        <v>273</v>
      </c>
    </row>
    <row r="2" spans="1:9">
      <c r="A2" s="251" t="s">
        <v>274</v>
      </c>
      <c r="B2" s="253">
        <v>8481900</v>
      </c>
      <c r="C2" s="251" t="s">
        <v>126</v>
      </c>
      <c r="D2" s="251" t="s">
        <v>116</v>
      </c>
      <c r="E2" s="251" t="s">
        <v>275</v>
      </c>
      <c r="F2" s="251" t="s">
        <v>276</v>
      </c>
      <c r="G2" s="252">
        <v>3537855.30953519</v>
      </c>
      <c r="H2" s="180"/>
      <c r="I2" s="183"/>
    </row>
    <row r="3" spans="1:9">
      <c r="A3" s="251" t="s">
        <v>274</v>
      </c>
      <c r="B3" s="253">
        <v>8481904</v>
      </c>
      <c r="C3" s="251" t="s">
        <v>131</v>
      </c>
      <c r="D3" s="251" t="s">
        <v>117</v>
      </c>
      <c r="E3" s="251" t="s">
        <v>277</v>
      </c>
      <c r="F3" s="251" t="s">
        <v>259</v>
      </c>
      <c r="G3" s="252">
        <v>559120.95616267598</v>
      </c>
      <c r="H3" s="180"/>
      <c r="I3" s="183"/>
    </row>
    <row r="4" spans="1:9">
      <c r="A4" s="251" t="s">
        <v>274</v>
      </c>
      <c r="B4" s="253">
        <v>8481906</v>
      </c>
      <c r="C4" s="251" t="s">
        <v>132</v>
      </c>
      <c r="D4" s="251" t="s">
        <v>22</v>
      </c>
      <c r="E4" s="251" t="s">
        <v>278</v>
      </c>
      <c r="F4" s="251" t="s">
        <v>279</v>
      </c>
      <c r="G4" s="252">
        <v>-20157522.319203801</v>
      </c>
      <c r="H4" s="180"/>
      <c r="I4" s="183"/>
    </row>
    <row r="5" spans="1:9">
      <c r="A5" s="251" t="s">
        <v>274</v>
      </c>
      <c r="B5" s="253">
        <v>8481910</v>
      </c>
      <c r="C5" s="251" t="s">
        <v>133</v>
      </c>
      <c r="D5" s="251" t="s">
        <v>22</v>
      </c>
      <c r="E5" s="251" t="s">
        <v>278</v>
      </c>
      <c r="F5" s="251" t="s">
        <v>279</v>
      </c>
      <c r="G5" s="252">
        <v>20157522.319203801</v>
      </c>
      <c r="H5" s="180"/>
      <c r="I5" s="183"/>
    </row>
    <row r="6" spans="1:9">
      <c r="A6" s="251" t="s">
        <v>274</v>
      </c>
      <c r="B6" s="253">
        <v>8481916</v>
      </c>
      <c r="C6" s="251" t="s">
        <v>127</v>
      </c>
      <c r="D6" s="251" t="s">
        <v>116</v>
      </c>
      <c r="E6" s="251" t="s">
        <v>275</v>
      </c>
      <c r="F6" s="251" t="s">
        <v>276</v>
      </c>
      <c r="G6" s="252">
        <v>-3537855.30953519</v>
      </c>
      <c r="H6" s="180"/>
      <c r="I6" s="183"/>
    </row>
    <row r="7" spans="1:9">
      <c r="A7" s="251" t="s">
        <v>274</v>
      </c>
      <c r="B7" s="253">
        <v>8481919</v>
      </c>
      <c r="C7" s="251" t="s">
        <v>129</v>
      </c>
      <c r="D7" s="251" t="s">
        <v>22</v>
      </c>
      <c r="E7" s="251" t="s">
        <v>280</v>
      </c>
      <c r="F7" s="251" t="s">
        <v>281</v>
      </c>
      <c r="G7" s="252">
        <v>-205967.021316119</v>
      </c>
      <c r="H7" s="180"/>
      <c r="I7" s="183"/>
    </row>
    <row r="8" spans="1:9">
      <c r="A8" s="251" t="s">
        <v>274</v>
      </c>
      <c r="B8" s="253">
        <v>8481921</v>
      </c>
      <c r="C8" s="251" t="s">
        <v>128</v>
      </c>
      <c r="D8" s="251" t="s">
        <v>22</v>
      </c>
      <c r="E8" s="251" t="s">
        <v>280</v>
      </c>
      <c r="F8" s="251" t="s">
        <v>281</v>
      </c>
      <c r="G8" s="252">
        <v>205967.021316119</v>
      </c>
      <c r="H8" s="180"/>
      <c r="I8" s="183"/>
    </row>
    <row r="9" spans="1:9">
      <c r="A9" s="251" t="s">
        <v>274</v>
      </c>
      <c r="B9" s="253">
        <v>8481924</v>
      </c>
      <c r="C9" s="251" t="s">
        <v>130</v>
      </c>
      <c r="D9" s="251" t="s">
        <v>117</v>
      </c>
      <c r="E9" s="251" t="s">
        <v>277</v>
      </c>
      <c r="F9" s="251" t="s">
        <v>259</v>
      </c>
      <c r="G9" s="252">
        <v>-559120.95616267598</v>
      </c>
      <c r="H9" s="180"/>
      <c r="I9" s="183"/>
    </row>
    <row r="10" spans="1:9">
      <c r="A10" s="251" t="s">
        <v>274</v>
      </c>
      <c r="B10" s="253">
        <v>8481927</v>
      </c>
      <c r="C10" s="251" t="s">
        <v>137</v>
      </c>
      <c r="D10" s="251" t="s">
        <v>116</v>
      </c>
      <c r="E10" s="251" t="s">
        <v>275</v>
      </c>
      <c r="F10" s="251" t="s">
        <v>276</v>
      </c>
      <c r="G10" s="252">
        <v>64501438.771469101</v>
      </c>
      <c r="H10" s="180"/>
      <c r="I10" s="183"/>
    </row>
    <row r="11" spans="1:9">
      <c r="A11" s="251" t="s">
        <v>274</v>
      </c>
      <c r="B11" s="253">
        <v>8481934</v>
      </c>
      <c r="C11" s="251" t="s">
        <v>134</v>
      </c>
      <c r="D11" s="251" t="s">
        <v>22</v>
      </c>
      <c r="E11" s="251" t="s">
        <v>282</v>
      </c>
      <c r="F11" s="251" t="s">
        <v>281</v>
      </c>
      <c r="G11" s="252">
        <v>38575170.832739703</v>
      </c>
      <c r="H11" s="180"/>
      <c r="I11" s="183"/>
    </row>
    <row r="12" spans="1:9">
      <c r="A12" s="251" t="s">
        <v>274</v>
      </c>
      <c r="B12" s="253">
        <v>8481936</v>
      </c>
      <c r="C12" s="251" t="s">
        <v>138</v>
      </c>
      <c r="D12" s="251" t="s">
        <v>22</v>
      </c>
      <c r="E12" s="251" t="s">
        <v>280</v>
      </c>
      <c r="F12" s="251" t="s">
        <v>281</v>
      </c>
      <c r="G12" s="252">
        <v>15226393.350853199</v>
      </c>
      <c r="H12" s="180"/>
      <c r="I12" s="183"/>
    </row>
    <row r="13" spans="1:9">
      <c r="A13" s="251" t="s">
        <v>274</v>
      </c>
      <c r="B13" s="253">
        <v>8481943</v>
      </c>
      <c r="C13" s="251" t="s">
        <v>140</v>
      </c>
      <c r="D13" s="251" t="s">
        <v>22</v>
      </c>
      <c r="E13" s="251" t="s">
        <v>278</v>
      </c>
      <c r="F13" s="251" t="s">
        <v>279</v>
      </c>
      <c r="G13" s="252">
        <v>22345217.839997899</v>
      </c>
      <c r="H13" s="180"/>
      <c r="I13" s="183"/>
    </row>
    <row r="14" spans="1:9">
      <c r="A14" s="251" t="s">
        <v>274</v>
      </c>
      <c r="B14" s="253">
        <v>8481946</v>
      </c>
      <c r="C14" s="251" t="s">
        <v>136</v>
      </c>
      <c r="D14" s="251" t="s">
        <v>22</v>
      </c>
      <c r="E14" s="251" t="s">
        <v>283</v>
      </c>
      <c r="F14" s="251" t="s">
        <v>279</v>
      </c>
      <c r="G14" s="252">
        <v>-35639675.647363499</v>
      </c>
      <c r="H14" s="180"/>
      <c r="I14" s="183"/>
    </row>
    <row r="15" spans="1:9">
      <c r="A15" s="251" t="s">
        <v>274</v>
      </c>
      <c r="B15" s="253">
        <v>8481949</v>
      </c>
      <c r="C15" s="251" t="s">
        <v>141</v>
      </c>
      <c r="D15" s="251" t="s">
        <v>116</v>
      </c>
      <c r="E15" s="251" t="s">
        <v>284</v>
      </c>
      <c r="F15" s="251" t="s">
        <v>276</v>
      </c>
      <c r="G15" s="252">
        <v>-996250.33019934106</v>
      </c>
      <c r="H15" s="180"/>
      <c r="I15" s="183"/>
    </row>
    <row r="16" spans="1:9">
      <c r="A16" s="251" t="s">
        <v>274</v>
      </c>
      <c r="B16" s="253">
        <v>8481951</v>
      </c>
      <c r="C16" s="251" t="s">
        <v>142</v>
      </c>
      <c r="D16" s="251" t="s">
        <v>22</v>
      </c>
      <c r="E16" s="251" t="s">
        <v>285</v>
      </c>
      <c r="F16" s="251" t="s">
        <v>281</v>
      </c>
      <c r="G16" s="252">
        <v>-226713.41251200801</v>
      </c>
      <c r="H16" s="180"/>
      <c r="I16" s="183"/>
    </row>
    <row r="17" spans="1:9">
      <c r="A17" s="251" t="s">
        <v>274</v>
      </c>
      <c r="B17" s="253">
        <v>8481954</v>
      </c>
      <c r="C17" s="251" t="s">
        <v>143</v>
      </c>
      <c r="D17" s="251" t="s">
        <v>117</v>
      </c>
      <c r="E17" s="251" t="s">
        <v>286</v>
      </c>
      <c r="F17" s="251" t="s">
        <v>259</v>
      </c>
      <c r="G17" s="252">
        <v>-43713.026962585704</v>
      </c>
      <c r="H17" s="180"/>
      <c r="I17" s="183"/>
    </row>
    <row r="18" spans="1:9">
      <c r="A18" s="251" t="s">
        <v>274</v>
      </c>
      <c r="B18" s="253">
        <v>8481957</v>
      </c>
      <c r="C18" s="251" t="s">
        <v>144</v>
      </c>
      <c r="D18" s="251" t="s">
        <v>22</v>
      </c>
      <c r="E18" s="251" t="s">
        <v>287</v>
      </c>
      <c r="F18" s="251" t="s">
        <v>279</v>
      </c>
      <c r="G18" s="252">
        <v>-20018073.0400397</v>
      </c>
      <c r="H18" s="180"/>
      <c r="I18" s="183"/>
    </row>
    <row r="19" spans="1:9">
      <c r="A19" s="251" t="s">
        <v>274</v>
      </c>
      <c r="B19" s="253">
        <v>8481960</v>
      </c>
      <c r="C19" s="251" t="s">
        <v>145</v>
      </c>
      <c r="D19" s="251" t="s">
        <v>116</v>
      </c>
      <c r="E19" s="251" t="s">
        <v>288</v>
      </c>
      <c r="F19" s="251" t="s">
        <v>276</v>
      </c>
      <c r="G19" s="252">
        <v>1051716.2322603001</v>
      </c>
      <c r="H19" s="180"/>
      <c r="I19" s="183"/>
    </row>
    <row r="20" spans="1:9">
      <c r="A20" s="251" t="s">
        <v>274</v>
      </c>
      <c r="B20" s="253">
        <v>8481963</v>
      </c>
      <c r="C20" s="251" t="s">
        <v>146</v>
      </c>
      <c r="D20" s="251" t="s">
        <v>116</v>
      </c>
      <c r="E20" s="251" t="s">
        <v>289</v>
      </c>
      <c r="F20" s="251" t="s">
        <v>276</v>
      </c>
      <c r="G20" s="252">
        <v>818071.286110883</v>
      </c>
      <c r="H20" s="180"/>
      <c r="I20" s="183"/>
    </row>
    <row r="21" spans="1:9">
      <c r="A21" s="251" t="s">
        <v>274</v>
      </c>
      <c r="B21" s="253">
        <v>8481966</v>
      </c>
      <c r="C21" s="251" t="s">
        <v>147</v>
      </c>
      <c r="D21" s="251" t="s">
        <v>22</v>
      </c>
      <c r="E21" s="251" t="s">
        <v>280</v>
      </c>
      <c r="F21" s="251" t="s">
        <v>281</v>
      </c>
      <c r="G21" s="252">
        <v>2365.6664314541299</v>
      </c>
      <c r="H21" s="180"/>
      <c r="I21" s="183"/>
    </row>
    <row r="22" spans="1:9">
      <c r="A22" s="251" t="s">
        <v>274</v>
      </c>
      <c r="B22" s="253">
        <v>8481969</v>
      </c>
      <c r="C22" s="251" t="s">
        <v>148</v>
      </c>
      <c r="D22" s="251" t="s">
        <v>22</v>
      </c>
      <c r="E22" s="251" t="s">
        <v>290</v>
      </c>
      <c r="F22" s="251" t="s">
        <v>281</v>
      </c>
      <c r="G22" s="252">
        <v>715083.31055604701</v>
      </c>
      <c r="H22" s="180"/>
      <c r="I22" s="183"/>
    </row>
    <row r="23" spans="1:9">
      <c r="A23" s="251" t="s">
        <v>274</v>
      </c>
      <c r="B23" s="253">
        <v>8481972</v>
      </c>
      <c r="C23" s="251" t="s">
        <v>149</v>
      </c>
      <c r="D23" s="251" t="s">
        <v>117</v>
      </c>
      <c r="E23" s="251" t="s">
        <v>277</v>
      </c>
      <c r="F23" s="251" t="s">
        <v>259</v>
      </c>
      <c r="G23" s="252">
        <v>-1343041.4234087199</v>
      </c>
      <c r="H23" s="180"/>
      <c r="I23" s="183"/>
    </row>
    <row r="24" spans="1:9">
      <c r="A24" s="251" t="s">
        <v>274</v>
      </c>
      <c r="B24" s="253">
        <v>8481975</v>
      </c>
      <c r="C24" s="251" t="s">
        <v>150</v>
      </c>
      <c r="D24" s="251" t="s">
        <v>117</v>
      </c>
      <c r="E24" s="251" t="s">
        <v>291</v>
      </c>
      <c r="F24" s="251" t="s">
        <v>259</v>
      </c>
      <c r="G24" s="252">
        <v>860995.87338026299</v>
      </c>
      <c r="H24" s="180"/>
      <c r="I24" s="183"/>
    </row>
    <row r="25" spans="1:9">
      <c r="A25" s="251" t="s">
        <v>274</v>
      </c>
      <c r="B25" s="253">
        <v>8481978</v>
      </c>
      <c r="C25" s="251" t="s">
        <v>151</v>
      </c>
      <c r="D25" s="251" t="s">
        <v>22</v>
      </c>
      <c r="E25" s="251" t="s">
        <v>278</v>
      </c>
      <c r="F25" s="251" t="s">
        <v>279</v>
      </c>
      <c r="G25" s="252">
        <v>13893982.755888</v>
      </c>
      <c r="H25" s="180"/>
      <c r="I25" s="183"/>
    </row>
    <row r="26" spans="1:9">
      <c r="A26" s="251" t="s">
        <v>274</v>
      </c>
      <c r="B26" s="253">
        <v>8481981</v>
      </c>
      <c r="C26" s="251" t="s">
        <v>152</v>
      </c>
      <c r="D26" s="251" t="s">
        <v>22</v>
      </c>
      <c r="E26" s="251" t="s">
        <v>292</v>
      </c>
      <c r="F26" s="251" t="s">
        <v>279</v>
      </c>
      <c r="G26" s="252">
        <v>9609748.8948354404</v>
      </c>
      <c r="H26" s="180"/>
      <c r="I26" s="183"/>
    </row>
    <row r="27" spans="1:9">
      <c r="A27" s="251" t="s">
        <v>274</v>
      </c>
      <c r="B27" s="253">
        <v>8481984</v>
      </c>
      <c r="C27" s="251" t="s">
        <v>153</v>
      </c>
      <c r="D27" s="251" t="s">
        <v>117</v>
      </c>
      <c r="E27" s="251" t="s">
        <v>277</v>
      </c>
      <c r="F27" s="251" t="s">
        <v>259</v>
      </c>
      <c r="G27" s="252">
        <v>1584126.4615418401</v>
      </c>
      <c r="H27" s="180"/>
      <c r="I27" s="183"/>
    </row>
    <row r="28" spans="1:9">
      <c r="A28" s="251" t="s">
        <v>274</v>
      </c>
      <c r="B28" s="253">
        <v>8481987</v>
      </c>
      <c r="C28" s="251" t="s">
        <v>154</v>
      </c>
      <c r="D28" s="251" t="s">
        <v>22</v>
      </c>
      <c r="E28" s="251" t="s">
        <v>278</v>
      </c>
      <c r="F28" s="251" t="s">
        <v>279</v>
      </c>
      <c r="G28" s="252">
        <v>-1508126.83158457</v>
      </c>
      <c r="H28" s="180"/>
      <c r="I28" s="183"/>
    </row>
    <row r="29" spans="1:9">
      <c r="A29" s="251" t="s">
        <v>274</v>
      </c>
      <c r="B29" s="253">
        <v>8481990</v>
      </c>
      <c r="C29" s="251" t="s">
        <v>155</v>
      </c>
      <c r="D29" s="251" t="s">
        <v>117</v>
      </c>
      <c r="E29" s="251" t="s">
        <v>277</v>
      </c>
      <c r="F29" s="251" t="s">
        <v>259</v>
      </c>
      <c r="G29" s="252">
        <v>11522734.2998331</v>
      </c>
      <c r="H29" s="180"/>
      <c r="I29" s="183"/>
    </row>
    <row r="30" spans="1:9">
      <c r="A30" s="251" t="s">
        <v>274</v>
      </c>
      <c r="B30" s="253">
        <v>8481993</v>
      </c>
      <c r="C30" s="251" t="s">
        <v>156</v>
      </c>
      <c r="D30" s="251" t="s">
        <v>22</v>
      </c>
      <c r="E30" s="251" t="s">
        <v>278</v>
      </c>
      <c r="F30" s="251" t="s">
        <v>279</v>
      </c>
      <c r="G30" s="252">
        <v>4236493.69861368</v>
      </c>
      <c r="H30" s="180"/>
      <c r="I30" s="183"/>
    </row>
    <row r="31" spans="1:9">
      <c r="A31" s="251" t="s">
        <v>274</v>
      </c>
      <c r="B31" s="253">
        <v>8481996</v>
      </c>
      <c r="C31" s="251" t="s">
        <v>157</v>
      </c>
      <c r="D31" s="251" t="s">
        <v>117</v>
      </c>
      <c r="E31" s="251" t="s">
        <v>293</v>
      </c>
      <c r="F31" s="251" t="s">
        <v>259</v>
      </c>
      <c r="G31" s="252">
        <v>1504308.45077598</v>
      </c>
      <c r="H31" s="180"/>
      <c r="I31" s="183"/>
    </row>
    <row r="32" spans="1:9">
      <c r="A32" s="251" t="s">
        <v>274</v>
      </c>
      <c r="B32" s="253">
        <v>8481999</v>
      </c>
      <c r="C32" s="251" t="s">
        <v>158</v>
      </c>
      <c r="D32" s="251" t="s">
        <v>22</v>
      </c>
      <c r="E32" s="251" t="s">
        <v>287</v>
      </c>
      <c r="F32" s="251" t="s">
        <v>279</v>
      </c>
      <c r="G32" s="252">
        <v>-19828.756490621501</v>
      </c>
      <c r="H32" s="180"/>
      <c r="I32" s="183"/>
    </row>
    <row r="33" spans="1:9">
      <c r="A33" s="251" t="s">
        <v>274</v>
      </c>
      <c r="B33" s="253">
        <v>8482002</v>
      </c>
      <c r="C33" s="251" t="s">
        <v>159</v>
      </c>
      <c r="D33" s="251" t="s">
        <v>117</v>
      </c>
      <c r="E33" s="251" t="s">
        <v>293</v>
      </c>
      <c r="F33" s="251" t="s">
        <v>259</v>
      </c>
      <c r="G33" s="252">
        <v>3298647.1964702099</v>
      </c>
      <c r="H33" s="180"/>
      <c r="I33" s="183"/>
    </row>
    <row r="34" spans="1:9">
      <c r="A34" s="251" t="s">
        <v>274</v>
      </c>
      <c r="B34" s="253">
        <v>8482005</v>
      </c>
      <c r="C34" s="251" t="s">
        <v>160</v>
      </c>
      <c r="D34" s="251" t="s">
        <v>22</v>
      </c>
      <c r="E34" s="251" t="s">
        <v>287</v>
      </c>
      <c r="F34" s="251" t="s">
        <v>279</v>
      </c>
      <c r="G34" s="252">
        <v>211359.19259782601</v>
      </c>
      <c r="H34" s="180"/>
      <c r="I34" s="183"/>
    </row>
    <row r="35" spans="1:9">
      <c r="A35" s="251" t="s">
        <v>274</v>
      </c>
      <c r="B35" s="253">
        <v>8482009</v>
      </c>
      <c r="C35" s="251" t="s">
        <v>161</v>
      </c>
      <c r="D35" s="251" t="s">
        <v>22</v>
      </c>
      <c r="E35" s="251" t="s">
        <v>278</v>
      </c>
      <c r="F35" s="251" t="s">
        <v>279</v>
      </c>
      <c r="G35" s="252">
        <v>-378759.99535839498</v>
      </c>
      <c r="H35" s="180"/>
      <c r="I35" s="183"/>
    </row>
    <row r="36" spans="1:9">
      <c r="A36" s="251" t="s">
        <v>274</v>
      </c>
      <c r="B36" s="253">
        <v>8482012</v>
      </c>
      <c r="C36" s="251" t="s">
        <v>162</v>
      </c>
      <c r="D36" s="251" t="s">
        <v>22</v>
      </c>
      <c r="E36" s="251" t="s">
        <v>292</v>
      </c>
      <c r="F36" s="251" t="s">
        <v>279</v>
      </c>
      <c r="G36" s="252">
        <v>-897404.79213747801</v>
      </c>
      <c r="H36" s="180"/>
      <c r="I36" s="183"/>
    </row>
    <row r="37" spans="1:9">
      <c r="A37" s="251" t="s">
        <v>274</v>
      </c>
      <c r="B37" s="253">
        <v>8482015</v>
      </c>
      <c r="C37" s="251" t="s">
        <v>163</v>
      </c>
      <c r="D37" s="251" t="s">
        <v>22</v>
      </c>
      <c r="E37" s="251" t="s">
        <v>294</v>
      </c>
      <c r="F37" s="251" t="s">
        <v>279</v>
      </c>
      <c r="G37" s="252">
        <v>-318256.04601357703</v>
      </c>
      <c r="H37" s="180"/>
      <c r="I37" s="183"/>
    </row>
    <row r="38" spans="1:9">
      <c r="A38" s="251" t="s">
        <v>274</v>
      </c>
      <c r="B38" s="253">
        <v>8482018</v>
      </c>
      <c r="C38" s="251" t="s">
        <v>164</v>
      </c>
      <c r="D38" s="251" t="s">
        <v>22</v>
      </c>
      <c r="E38" s="251" t="s">
        <v>287</v>
      </c>
      <c r="F38" s="251" t="s">
        <v>279</v>
      </c>
      <c r="G38" s="252">
        <v>-277384.38642134401</v>
      </c>
      <c r="H38" s="180"/>
      <c r="I38" s="183"/>
    </row>
    <row r="39" spans="1:9">
      <c r="A39" s="251" t="s">
        <v>274</v>
      </c>
      <c r="B39" s="253">
        <v>8482021</v>
      </c>
      <c r="C39" s="251" t="s">
        <v>166</v>
      </c>
      <c r="D39" s="251" t="s">
        <v>117</v>
      </c>
      <c r="E39" s="251" t="s">
        <v>277</v>
      </c>
      <c r="F39" s="251" t="s">
        <v>259</v>
      </c>
      <c r="G39" s="252">
        <v>-471376.358802117</v>
      </c>
      <c r="H39" s="180"/>
      <c r="I39" s="183"/>
    </row>
    <row r="40" spans="1:9">
      <c r="A40" s="251" t="s">
        <v>274</v>
      </c>
      <c r="B40" s="253">
        <v>8482024</v>
      </c>
      <c r="C40" s="251" t="s">
        <v>165</v>
      </c>
      <c r="D40" s="251" t="s">
        <v>22</v>
      </c>
      <c r="E40" s="251" t="s">
        <v>295</v>
      </c>
      <c r="F40" s="251" t="s">
        <v>279</v>
      </c>
      <c r="G40" s="252">
        <v>-242351.79593755299</v>
      </c>
      <c r="H40" s="180"/>
      <c r="I40" s="183"/>
    </row>
    <row r="41" spans="1:9">
      <c r="A41" s="251" t="s">
        <v>274</v>
      </c>
      <c r="B41" s="253">
        <v>8482027</v>
      </c>
      <c r="C41" s="251" t="s">
        <v>167</v>
      </c>
      <c r="D41" s="251" t="s">
        <v>117</v>
      </c>
      <c r="E41" s="251" t="s">
        <v>291</v>
      </c>
      <c r="F41" s="251" t="s">
        <v>259</v>
      </c>
      <c r="G41" s="252">
        <v>-484943.67920132598</v>
      </c>
      <c r="H41" s="180"/>
      <c r="I41" s="183"/>
    </row>
    <row r="42" spans="1:9">
      <c r="A42" s="251" t="s">
        <v>274</v>
      </c>
      <c r="B42" s="253">
        <v>8482030</v>
      </c>
      <c r="C42" s="251" t="s">
        <v>168</v>
      </c>
      <c r="D42" s="251" t="s">
        <v>117</v>
      </c>
      <c r="E42" s="251" t="s">
        <v>293</v>
      </c>
      <c r="F42" s="251" t="s">
        <v>259</v>
      </c>
      <c r="G42" s="252">
        <v>-1136023.2380393699</v>
      </c>
      <c r="H42" s="180"/>
      <c r="I42" s="183"/>
    </row>
    <row r="43" spans="1:9">
      <c r="A43" s="251" t="s">
        <v>274</v>
      </c>
      <c r="B43" s="253">
        <v>8482033</v>
      </c>
      <c r="C43" s="251" t="s">
        <v>169</v>
      </c>
      <c r="D43" s="251" t="s">
        <v>117</v>
      </c>
      <c r="E43" s="251" t="s">
        <v>286</v>
      </c>
      <c r="F43" s="251" t="s">
        <v>259</v>
      </c>
      <c r="G43" s="252">
        <v>-698421.54847776203</v>
      </c>
      <c r="H43" s="180"/>
      <c r="I43" s="183"/>
    </row>
    <row r="44" spans="1:9">
      <c r="A44" s="251" t="s">
        <v>274</v>
      </c>
      <c r="B44" s="253">
        <v>8482036</v>
      </c>
      <c r="C44" s="251" t="s">
        <v>170</v>
      </c>
      <c r="D44" s="251" t="s">
        <v>117</v>
      </c>
      <c r="E44" s="251" t="s">
        <v>296</v>
      </c>
      <c r="F44" s="251" t="s">
        <v>259</v>
      </c>
      <c r="G44" s="252">
        <v>-339932.31639529503</v>
      </c>
      <c r="H44" s="180"/>
      <c r="I44" s="183"/>
    </row>
    <row r="45" spans="1:9">
      <c r="A45" s="251" t="s">
        <v>274</v>
      </c>
      <c r="B45" s="253">
        <v>8482038</v>
      </c>
      <c r="C45" s="251" t="s">
        <v>171</v>
      </c>
      <c r="D45" s="251" t="s">
        <v>117</v>
      </c>
      <c r="E45" s="251" t="s">
        <v>277</v>
      </c>
      <c r="F45" s="251" t="s">
        <v>259</v>
      </c>
      <c r="G45" s="252">
        <v>-805848.28320316202</v>
      </c>
      <c r="H45" s="180"/>
      <c r="I45" s="183"/>
    </row>
    <row r="46" spans="1:9">
      <c r="A46" s="251" t="s">
        <v>274</v>
      </c>
      <c r="B46" s="253">
        <v>8482041</v>
      </c>
      <c r="C46" s="251" t="s">
        <v>172</v>
      </c>
      <c r="D46" s="251" t="s">
        <v>117</v>
      </c>
      <c r="E46" s="251" t="s">
        <v>277</v>
      </c>
      <c r="F46" s="251" t="s">
        <v>259</v>
      </c>
      <c r="G46" s="252">
        <v>-811409.65684460301</v>
      </c>
      <c r="H46" s="180"/>
      <c r="I46" s="183"/>
    </row>
    <row r="47" spans="1:9">
      <c r="A47" s="251" t="s">
        <v>274</v>
      </c>
      <c r="B47" s="253">
        <v>8482044</v>
      </c>
      <c r="C47" s="251" t="s">
        <v>173</v>
      </c>
      <c r="D47" s="251" t="s">
        <v>117</v>
      </c>
      <c r="E47" s="251" t="s">
        <v>277</v>
      </c>
      <c r="F47" s="251" t="s">
        <v>259</v>
      </c>
      <c r="G47" s="252">
        <v>-812074.686206165</v>
      </c>
      <c r="H47" s="180"/>
      <c r="I47" s="183"/>
    </row>
    <row r="48" spans="1:9">
      <c r="A48" s="251" t="s">
        <v>274</v>
      </c>
      <c r="B48" s="253">
        <v>8482047</v>
      </c>
      <c r="C48" s="251" t="s">
        <v>174</v>
      </c>
      <c r="D48" s="251" t="s">
        <v>117</v>
      </c>
      <c r="E48" s="251" t="s">
        <v>277</v>
      </c>
      <c r="F48" s="251" t="s">
        <v>259</v>
      </c>
      <c r="G48" s="252">
        <v>-802946.83959907095</v>
      </c>
      <c r="H48" s="180"/>
      <c r="I48" s="183"/>
    </row>
    <row r="49" spans="1:9">
      <c r="A49" s="251" t="s">
        <v>274</v>
      </c>
      <c r="B49" s="253">
        <v>8482050</v>
      </c>
      <c r="C49" s="251" t="s">
        <v>175</v>
      </c>
      <c r="D49" s="251" t="s">
        <v>117</v>
      </c>
      <c r="E49" s="251" t="s">
        <v>277</v>
      </c>
      <c r="F49" s="251" t="s">
        <v>259</v>
      </c>
      <c r="G49" s="252">
        <v>-808509.05233036506</v>
      </c>
      <c r="H49" s="180"/>
      <c r="I49" s="183"/>
    </row>
    <row r="50" spans="1:9">
      <c r="A50" s="251" t="s">
        <v>274</v>
      </c>
      <c r="B50" s="253">
        <v>8482053</v>
      </c>
      <c r="C50" s="251" t="s">
        <v>177</v>
      </c>
      <c r="D50" s="251" t="s">
        <v>117</v>
      </c>
      <c r="E50" s="251" t="s">
        <v>277</v>
      </c>
      <c r="F50" s="251" t="s">
        <v>259</v>
      </c>
      <c r="G50" s="252">
        <v>-814737.79825237498</v>
      </c>
      <c r="H50" s="180"/>
      <c r="I50" s="183"/>
    </row>
    <row r="51" spans="1:9">
      <c r="A51" s="251" t="s">
        <v>274</v>
      </c>
      <c r="B51" s="253">
        <v>8482056</v>
      </c>
      <c r="C51" s="251" t="s">
        <v>176</v>
      </c>
      <c r="D51" s="251" t="s">
        <v>117</v>
      </c>
      <c r="E51" s="251" t="s">
        <v>277</v>
      </c>
      <c r="F51" s="251" t="s">
        <v>259</v>
      </c>
      <c r="G51" s="252">
        <v>-814071.57103234902</v>
      </c>
      <c r="H51" s="180"/>
      <c r="I51" s="183"/>
    </row>
    <row r="52" spans="1:9">
      <c r="A52" s="251" t="s">
        <v>274</v>
      </c>
      <c r="B52" s="253">
        <v>8482059</v>
      </c>
      <c r="C52" s="251" t="s">
        <v>178</v>
      </c>
      <c r="D52" s="251" t="s">
        <v>117</v>
      </c>
      <c r="E52" s="251" t="s">
        <v>277</v>
      </c>
      <c r="F52" s="251" t="s">
        <v>259</v>
      </c>
      <c r="G52" s="252">
        <v>-815404.32496013399</v>
      </c>
      <c r="H52" s="180"/>
      <c r="I52" s="183"/>
    </row>
    <row r="53" spans="1:9">
      <c r="A53" s="251" t="s">
        <v>274</v>
      </c>
      <c r="B53" s="253">
        <v>8482062</v>
      </c>
      <c r="C53" s="251" t="s">
        <v>179</v>
      </c>
      <c r="D53" s="251" t="s">
        <v>117</v>
      </c>
      <c r="E53" s="251" t="s">
        <v>277</v>
      </c>
      <c r="F53" s="251" t="s">
        <v>259</v>
      </c>
      <c r="G53" s="252">
        <v>-816071.15116482996</v>
      </c>
      <c r="H53" s="180"/>
      <c r="I53" s="183"/>
    </row>
    <row r="54" spans="1:9">
      <c r="A54" s="251" t="s">
        <v>274</v>
      </c>
      <c r="B54" s="253">
        <v>8482065</v>
      </c>
      <c r="C54" s="251" t="s">
        <v>180</v>
      </c>
      <c r="D54" s="251" t="s">
        <v>117</v>
      </c>
      <c r="E54" s="251" t="s">
        <v>277</v>
      </c>
      <c r="F54" s="251" t="s">
        <v>259</v>
      </c>
      <c r="G54" s="252">
        <v>-816738.27687571698</v>
      </c>
      <c r="H54" s="180"/>
      <c r="I54" s="183"/>
    </row>
    <row r="55" spans="1:9">
      <c r="A55" s="251" t="s">
        <v>274</v>
      </c>
      <c r="B55" s="253">
        <v>8482068</v>
      </c>
      <c r="C55" s="251" t="s">
        <v>181</v>
      </c>
      <c r="D55" s="251" t="s">
        <v>117</v>
      </c>
      <c r="E55" s="251" t="s">
        <v>277</v>
      </c>
      <c r="F55" s="251" t="s">
        <v>259</v>
      </c>
      <c r="G55" s="252">
        <v>-807612.71190429002</v>
      </c>
      <c r="H55" s="180"/>
      <c r="I55" s="183"/>
    </row>
    <row r="56" spans="1:9">
      <c r="A56" s="251" t="s">
        <v>274</v>
      </c>
      <c r="B56" s="253">
        <v>8482071</v>
      </c>
      <c r="C56" s="251" t="s">
        <v>182</v>
      </c>
      <c r="D56" s="251" t="s">
        <v>117</v>
      </c>
      <c r="E56" s="251" t="s">
        <v>277</v>
      </c>
      <c r="F56" s="251" t="s">
        <v>259</v>
      </c>
      <c r="G56" s="252">
        <v>-813176.92848050501</v>
      </c>
      <c r="H56" s="180"/>
      <c r="I56" s="183"/>
    </row>
    <row r="57" spans="1:9">
      <c r="A57" s="251" t="s">
        <v>274</v>
      </c>
      <c r="B57" s="253">
        <v>8482074</v>
      </c>
      <c r="C57" s="251" t="s">
        <v>183</v>
      </c>
      <c r="D57" s="251" t="s">
        <v>117</v>
      </c>
      <c r="E57" s="251" t="s">
        <v>277</v>
      </c>
      <c r="F57" s="251" t="s">
        <v>259</v>
      </c>
      <c r="G57" s="252">
        <v>-818741.45113767602</v>
      </c>
      <c r="H57" s="180"/>
      <c r="I57" s="183"/>
    </row>
    <row r="58" spans="1:9">
      <c r="A58" s="251" t="s">
        <v>274</v>
      </c>
      <c r="B58" s="253">
        <v>8482077</v>
      </c>
      <c r="C58" s="251" t="s">
        <v>184</v>
      </c>
      <c r="D58" s="251" t="s">
        <v>117</v>
      </c>
      <c r="E58" s="251" t="s">
        <v>277</v>
      </c>
      <c r="F58" s="251" t="s">
        <v>259</v>
      </c>
      <c r="G58" s="252">
        <v>-819409.77496551396</v>
      </c>
      <c r="H58" s="180"/>
      <c r="I58" s="183"/>
    </row>
    <row r="59" spans="1:9">
      <c r="A59" s="251" t="s">
        <v>274</v>
      </c>
      <c r="B59" s="253">
        <v>8482080</v>
      </c>
      <c r="C59" s="251" t="s">
        <v>185</v>
      </c>
      <c r="D59" s="251" t="s">
        <v>117</v>
      </c>
      <c r="E59" s="251" t="s">
        <v>277</v>
      </c>
      <c r="F59" s="251" t="s">
        <v>259</v>
      </c>
      <c r="G59" s="252">
        <v>-820078.39834561897</v>
      </c>
      <c r="H59" s="180"/>
      <c r="I59" s="183"/>
    </row>
    <row r="60" spans="1:9">
      <c r="A60" s="251" t="s">
        <v>274</v>
      </c>
      <c r="B60" s="253">
        <v>8482083</v>
      </c>
      <c r="C60" s="251" t="s">
        <v>186</v>
      </c>
      <c r="D60" s="251" t="s">
        <v>117</v>
      </c>
      <c r="E60" s="251" t="s">
        <v>277</v>
      </c>
      <c r="F60" s="251" t="s">
        <v>259</v>
      </c>
      <c r="G60" s="252">
        <v>-820747.32128721103</v>
      </c>
      <c r="H60" s="180"/>
      <c r="I60" s="183"/>
    </row>
    <row r="61" spans="1:9">
      <c r="A61" s="251" t="s">
        <v>274</v>
      </c>
      <c r="B61" s="253">
        <v>8482086</v>
      </c>
      <c r="C61" s="251" t="s">
        <v>187</v>
      </c>
      <c r="D61" s="251" t="s">
        <v>117</v>
      </c>
      <c r="E61" s="251" t="s">
        <v>277</v>
      </c>
      <c r="F61" s="251" t="s">
        <v>259</v>
      </c>
      <c r="G61" s="252">
        <v>-821416.54379952501</v>
      </c>
      <c r="H61" s="180"/>
      <c r="I61" s="183"/>
    </row>
    <row r="62" spans="1:9">
      <c r="A62" s="251" t="s">
        <v>274</v>
      </c>
      <c r="B62" s="253">
        <v>8482089</v>
      </c>
      <c r="C62" s="251" t="s">
        <v>188</v>
      </c>
      <c r="D62" s="251" t="s">
        <v>117</v>
      </c>
      <c r="E62" s="251" t="s">
        <v>277</v>
      </c>
      <c r="F62" s="251" t="s">
        <v>259</v>
      </c>
      <c r="G62" s="252">
        <v>-807396.90920609096</v>
      </c>
      <c r="H62" s="180"/>
      <c r="I62" s="183"/>
    </row>
    <row r="63" spans="1:9">
      <c r="A63" s="251" t="s">
        <v>274</v>
      </c>
      <c r="B63" s="253">
        <v>8482092</v>
      </c>
      <c r="C63" s="251" t="s">
        <v>189</v>
      </c>
      <c r="D63" s="251" t="s">
        <v>117</v>
      </c>
      <c r="E63" s="251" t="s">
        <v>277</v>
      </c>
      <c r="F63" s="251" t="s">
        <v>259</v>
      </c>
      <c r="G63" s="252">
        <v>-812963.10985495104</v>
      </c>
      <c r="H63" s="180"/>
      <c r="I63" s="183"/>
    </row>
    <row r="64" spans="1:9">
      <c r="A64" s="251" t="s">
        <v>274</v>
      </c>
      <c r="B64" s="253">
        <v>8482095</v>
      </c>
      <c r="C64" s="251" t="s">
        <v>190</v>
      </c>
      <c r="D64" s="251" t="s">
        <v>117</v>
      </c>
      <c r="E64" s="251" t="s">
        <v>277</v>
      </c>
      <c r="F64" s="251" t="s">
        <v>259</v>
      </c>
      <c r="G64" s="252">
        <v>-818529.61669385899</v>
      </c>
      <c r="H64" s="180"/>
      <c r="I64" s="183"/>
    </row>
    <row r="65" spans="1:9">
      <c r="A65" s="251" t="s">
        <v>274</v>
      </c>
      <c r="B65" s="253">
        <v>8482098</v>
      </c>
      <c r="C65" s="251" t="s">
        <v>191</v>
      </c>
      <c r="D65" s="251" t="s">
        <v>117</v>
      </c>
      <c r="E65" s="251" t="s">
        <v>277</v>
      </c>
      <c r="F65" s="251" t="s">
        <v>259</v>
      </c>
      <c r="G65" s="252">
        <v>-824096.42973972205</v>
      </c>
      <c r="H65" s="180"/>
      <c r="I65" s="183"/>
    </row>
    <row r="66" spans="1:9">
      <c r="A66" s="251" t="s">
        <v>274</v>
      </c>
      <c r="B66" s="253">
        <v>8482101</v>
      </c>
      <c r="C66" s="251" t="s">
        <v>192</v>
      </c>
      <c r="D66" s="251" t="s">
        <v>117</v>
      </c>
      <c r="E66" s="251" t="s">
        <v>277</v>
      </c>
      <c r="F66" s="251" t="s">
        <v>259</v>
      </c>
      <c r="G66" s="252">
        <v>-824767.15024348698</v>
      </c>
      <c r="H66" s="180"/>
      <c r="I66" s="183"/>
    </row>
    <row r="67" spans="1:9">
      <c r="A67" s="251" t="s">
        <v>274</v>
      </c>
      <c r="B67" s="253">
        <v>8482104</v>
      </c>
      <c r="C67" s="251" t="s">
        <v>193</v>
      </c>
      <c r="D67" s="251" t="s">
        <v>117</v>
      </c>
      <c r="E67" s="251" t="s">
        <v>277</v>
      </c>
      <c r="F67" s="251" t="s">
        <v>259</v>
      </c>
      <c r="G67" s="252">
        <v>-825438.17037315306</v>
      </c>
      <c r="H67" s="180"/>
      <c r="I67" s="183"/>
    </row>
    <row r="68" spans="1:9">
      <c r="A68" s="251" t="s">
        <v>274</v>
      </c>
      <c r="B68" s="253">
        <v>8482107</v>
      </c>
      <c r="C68" s="251" t="s">
        <v>194</v>
      </c>
      <c r="D68" s="251" t="s">
        <v>117</v>
      </c>
      <c r="E68" s="251" t="s">
        <v>277</v>
      </c>
      <c r="F68" s="251" t="s">
        <v>259</v>
      </c>
      <c r="G68" s="252">
        <v>-826109.49013786297</v>
      </c>
      <c r="H68" s="180"/>
      <c r="I68" s="183"/>
    </row>
    <row r="69" spans="1:9">
      <c r="A69" s="251" t="s">
        <v>274</v>
      </c>
      <c r="B69" s="253">
        <v>8482110</v>
      </c>
      <c r="C69" s="251" t="s">
        <v>195</v>
      </c>
      <c r="D69" s="251" t="s">
        <v>117</v>
      </c>
      <c r="E69" s="251" t="s">
        <v>277</v>
      </c>
      <c r="F69" s="251" t="s">
        <v>259</v>
      </c>
      <c r="G69" s="252">
        <v>-816987.91302680504</v>
      </c>
      <c r="H69" s="180"/>
      <c r="I69" s="183"/>
    </row>
    <row r="70" spans="1:9">
      <c r="A70" s="251" t="s">
        <v>274</v>
      </c>
      <c r="B70" s="253">
        <v>8482113</v>
      </c>
      <c r="C70" s="251" t="s">
        <v>196</v>
      </c>
      <c r="D70" s="251" t="s">
        <v>117</v>
      </c>
      <c r="E70" s="251" t="s">
        <v>277</v>
      </c>
      <c r="F70" s="251" t="s">
        <v>259</v>
      </c>
      <c r="G70" s="252">
        <v>-822556.13372607401</v>
      </c>
      <c r="H70" s="180"/>
      <c r="I70" s="183"/>
    </row>
    <row r="71" spans="1:9">
      <c r="A71" s="251" t="s">
        <v>274</v>
      </c>
      <c r="B71" s="253">
        <v>8482116</v>
      </c>
      <c r="C71" s="251" t="s">
        <v>197</v>
      </c>
      <c r="D71" s="251" t="s">
        <v>117</v>
      </c>
      <c r="E71" s="251" t="s">
        <v>277</v>
      </c>
      <c r="F71" s="251" t="s">
        <v>259</v>
      </c>
      <c r="G71" s="252">
        <v>-828124.66072653595</v>
      </c>
      <c r="H71" s="180"/>
      <c r="I71" s="183"/>
    </row>
    <row r="72" spans="1:9">
      <c r="A72" s="251" t="s">
        <v>274</v>
      </c>
      <c r="B72" s="253">
        <v>8482119</v>
      </c>
      <c r="C72" s="251" t="s">
        <v>199</v>
      </c>
      <c r="D72" s="251" t="s">
        <v>117</v>
      </c>
      <c r="E72" s="251" t="s">
        <v>277</v>
      </c>
      <c r="F72" s="251" t="s">
        <v>259</v>
      </c>
      <c r="G72" s="252">
        <v>-829469.39909494203</v>
      </c>
      <c r="H72" s="180"/>
      <c r="I72" s="183"/>
    </row>
    <row r="73" spans="1:9">
      <c r="A73" s="251" t="s">
        <v>274</v>
      </c>
      <c r="B73" s="253">
        <v>8482122</v>
      </c>
      <c r="C73" s="251" t="s">
        <v>198</v>
      </c>
      <c r="D73" s="251" t="s">
        <v>117</v>
      </c>
      <c r="E73" s="251" t="s">
        <v>277</v>
      </c>
      <c r="F73" s="251" t="s">
        <v>259</v>
      </c>
      <c r="G73" s="252">
        <v>-828796.88151063398</v>
      </c>
      <c r="H73" s="180"/>
      <c r="I73" s="183"/>
    </row>
    <row r="74" spans="1:9">
      <c r="A74" s="251" t="s">
        <v>274</v>
      </c>
      <c r="B74" s="253">
        <v>8482125</v>
      </c>
      <c r="C74" s="251" t="s">
        <v>200</v>
      </c>
      <c r="D74" s="251" t="s">
        <v>117</v>
      </c>
      <c r="E74" s="251" t="s">
        <v>277</v>
      </c>
      <c r="F74" s="251" t="s">
        <v>259</v>
      </c>
      <c r="G74" s="252">
        <v>-830142.21348245395</v>
      </c>
      <c r="H74" s="180"/>
      <c r="I74" s="183"/>
    </row>
    <row r="75" spans="1:9">
      <c r="A75" s="251" t="s">
        <v>274</v>
      </c>
      <c r="B75" s="253">
        <v>8482128</v>
      </c>
      <c r="C75" s="251" t="s">
        <v>201</v>
      </c>
      <c r="D75" s="251" t="s">
        <v>117</v>
      </c>
      <c r="E75" s="251" t="s">
        <v>277</v>
      </c>
      <c r="F75" s="251" t="s">
        <v>259</v>
      </c>
      <c r="G75" s="252">
        <v>-830815.32467616803</v>
      </c>
      <c r="H75" s="180"/>
      <c r="I75" s="183"/>
    </row>
    <row r="76" spans="1:9">
      <c r="A76" s="251" t="s">
        <v>274</v>
      </c>
      <c r="B76" s="253">
        <v>8482131</v>
      </c>
      <c r="C76" s="251" t="s">
        <v>202</v>
      </c>
      <c r="D76" s="251" t="s">
        <v>117</v>
      </c>
      <c r="E76" s="251" t="s">
        <v>277</v>
      </c>
      <c r="F76" s="251" t="s">
        <v>259</v>
      </c>
      <c r="G76" s="252">
        <v>-822045.42004543403</v>
      </c>
      <c r="H76" s="180"/>
      <c r="I76" s="183"/>
    </row>
    <row r="77" spans="1:9">
      <c r="A77" s="251" t="s">
        <v>274</v>
      </c>
      <c r="B77" s="253">
        <v>8482134</v>
      </c>
      <c r="C77" s="251" t="s">
        <v>203</v>
      </c>
      <c r="D77" s="251" t="s">
        <v>22</v>
      </c>
      <c r="E77" s="251" t="s">
        <v>278</v>
      </c>
      <c r="F77" s="251" t="s">
        <v>279</v>
      </c>
      <c r="G77" s="252">
        <v>3991610.3070901399</v>
      </c>
      <c r="H77" s="180"/>
      <c r="I77" s="183"/>
    </row>
    <row r="78" spans="1:9">
      <c r="A78" s="251" t="s">
        <v>274</v>
      </c>
      <c r="B78" s="253">
        <v>8482137</v>
      </c>
      <c r="C78" s="251" t="s">
        <v>204</v>
      </c>
      <c r="D78" s="251" t="s">
        <v>22</v>
      </c>
      <c r="E78" s="251" t="s">
        <v>278</v>
      </c>
      <c r="F78" s="251" t="s">
        <v>279</v>
      </c>
      <c r="G78" s="252">
        <v>3976174.9030521601</v>
      </c>
      <c r="H78" s="180"/>
      <c r="I78" s="183"/>
    </row>
    <row r="79" spans="1:9">
      <c r="A79" s="251" t="s">
        <v>274</v>
      </c>
      <c r="B79" s="253">
        <v>8482140</v>
      </c>
      <c r="C79" s="251" t="s">
        <v>205</v>
      </c>
      <c r="D79" s="251" t="s">
        <v>22</v>
      </c>
      <c r="E79" s="251" t="s">
        <v>278</v>
      </c>
      <c r="F79" s="251" t="s">
        <v>279</v>
      </c>
      <c r="G79" s="252">
        <v>3960739.91229987</v>
      </c>
      <c r="H79" s="180"/>
      <c r="I79" s="183"/>
    </row>
    <row r="80" spans="1:9">
      <c r="A80" s="251" t="s">
        <v>274</v>
      </c>
      <c r="B80" s="253">
        <v>8482143</v>
      </c>
      <c r="C80" s="251" t="s">
        <v>206</v>
      </c>
      <c r="D80" s="251" t="s">
        <v>22</v>
      </c>
      <c r="E80" s="251" t="s">
        <v>278</v>
      </c>
      <c r="F80" s="251" t="s">
        <v>279</v>
      </c>
      <c r="G80" s="252">
        <v>3945305.3357112301</v>
      </c>
      <c r="H80" s="180"/>
      <c r="I80" s="183"/>
    </row>
    <row r="81" spans="1:9">
      <c r="A81" s="251" t="s">
        <v>274</v>
      </c>
      <c r="B81" s="253">
        <v>8482146</v>
      </c>
      <c r="C81" s="251" t="s">
        <v>207</v>
      </c>
      <c r="D81" s="251" t="s">
        <v>22</v>
      </c>
      <c r="E81" s="251" t="s">
        <v>278</v>
      </c>
      <c r="F81" s="251" t="s">
        <v>279</v>
      </c>
      <c r="G81" s="252">
        <v>3899004.0997057399</v>
      </c>
      <c r="H81" s="180"/>
      <c r="I81" s="183"/>
    </row>
    <row r="82" spans="1:9">
      <c r="A82" s="251" t="s">
        <v>274</v>
      </c>
      <c r="B82" s="253">
        <v>8482149</v>
      </c>
      <c r="C82" s="251" t="s">
        <v>208</v>
      </c>
      <c r="D82" s="251" t="s">
        <v>22</v>
      </c>
      <c r="E82" s="251" t="s">
        <v>278</v>
      </c>
      <c r="F82" s="251" t="s">
        <v>279</v>
      </c>
      <c r="G82" s="252">
        <v>3899004.0997057399</v>
      </c>
      <c r="H82" s="180"/>
      <c r="I82" s="183"/>
    </row>
    <row r="83" spans="1:9">
      <c r="A83" s="251" t="s">
        <v>274</v>
      </c>
      <c r="B83" s="253">
        <v>8482152</v>
      </c>
      <c r="C83" s="251" t="s">
        <v>209</v>
      </c>
      <c r="D83" s="251" t="s">
        <v>22</v>
      </c>
      <c r="E83" s="251" t="s">
        <v>278</v>
      </c>
      <c r="F83" s="251" t="s">
        <v>279</v>
      </c>
      <c r="G83" s="252">
        <v>3899004.0997057399</v>
      </c>
      <c r="H83" s="180"/>
      <c r="I83" s="183"/>
    </row>
    <row r="84" spans="1:9">
      <c r="A84" s="251" t="s">
        <v>274</v>
      </c>
      <c r="B84" s="253">
        <v>8482155</v>
      </c>
      <c r="C84" s="251" t="s">
        <v>210</v>
      </c>
      <c r="D84" s="251" t="s">
        <v>22</v>
      </c>
      <c r="E84" s="251" t="s">
        <v>278</v>
      </c>
      <c r="F84" s="251" t="s">
        <v>279</v>
      </c>
      <c r="G84" s="252">
        <v>3883571.1885500099</v>
      </c>
      <c r="H84" s="180"/>
      <c r="I84" s="183"/>
    </row>
    <row r="85" spans="1:9">
      <c r="A85" s="251" t="s">
        <v>274</v>
      </c>
      <c r="B85" s="253">
        <v>8482158</v>
      </c>
      <c r="C85" s="251" t="s">
        <v>211</v>
      </c>
      <c r="D85" s="251" t="s">
        <v>22</v>
      </c>
      <c r="E85" s="251" t="s">
        <v>278</v>
      </c>
      <c r="F85" s="251" t="s">
        <v>279</v>
      </c>
      <c r="G85" s="252">
        <v>3868138.6959468098</v>
      </c>
      <c r="H85" s="180"/>
      <c r="I85" s="183"/>
    </row>
    <row r="86" spans="1:9">
      <c r="A86" s="251" t="s">
        <v>274</v>
      </c>
      <c r="B86" s="253">
        <v>8482161</v>
      </c>
      <c r="C86" s="251" t="s">
        <v>212</v>
      </c>
      <c r="D86" s="251" t="s">
        <v>22</v>
      </c>
      <c r="E86" s="251" t="s">
        <v>278</v>
      </c>
      <c r="F86" s="251" t="s">
        <v>279</v>
      </c>
      <c r="G86" s="252">
        <v>3852706.6227738298</v>
      </c>
      <c r="H86" s="180"/>
      <c r="I86" s="183"/>
    </row>
    <row r="87" spans="1:9">
      <c r="A87" s="251" t="s">
        <v>274</v>
      </c>
      <c r="B87" s="253">
        <v>8482164</v>
      </c>
      <c r="C87" s="251" t="s">
        <v>213</v>
      </c>
      <c r="D87" s="251" t="s">
        <v>22</v>
      </c>
      <c r="E87" s="251" t="s">
        <v>278</v>
      </c>
      <c r="F87" s="251" t="s">
        <v>279</v>
      </c>
      <c r="G87" s="252">
        <v>3837274.9699086202</v>
      </c>
      <c r="H87" s="180"/>
      <c r="I87" s="183"/>
    </row>
    <row r="88" spans="1:9">
      <c r="A88" s="251" t="s">
        <v>274</v>
      </c>
      <c r="B88" s="253">
        <v>8482167</v>
      </c>
      <c r="C88" s="251" t="s">
        <v>214</v>
      </c>
      <c r="D88" s="251" t="s">
        <v>22</v>
      </c>
      <c r="E88" s="251" t="s">
        <v>278</v>
      </c>
      <c r="F88" s="251" t="s">
        <v>279</v>
      </c>
      <c r="G88" s="252">
        <v>3790982.5419345298</v>
      </c>
      <c r="H88" s="180"/>
      <c r="I88" s="183"/>
    </row>
    <row r="89" spans="1:9">
      <c r="A89" s="251" t="s">
        <v>274</v>
      </c>
      <c r="B89" s="253">
        <v>8482170</v>
      </c>
      <c r="C89" s="251" t="s">
        <v>215</v>
      </c>
      <c r="D89" s="251" t="s">
        <v>22</v>
      </c>
      <c r="E89" s="251" t="s">
        <v>278</v>
      </c>
      <c r="F89" s="251" t="s">
        <v>279</v>
      </c>
      <c r="G89" s="252">
        <v>3790982.5419345298</v>
      </c>
      <c r="H89" s="180"/>
      <c r="I89" s="183"/>
    </row>
    <row r="90" spans="1:9">
      <c r="A90" s="251" t="s">
        <v>274</v>
      </c>
      <c r="B90" s="253">
        <v>8482173</v>
      </c>
      <c r="C90" s="251" t="s">
        <v>216</v>
      </c>
      <c r="D90" s="251" t="s">
        <v>22</v>
      </c>
      <c r="E90" s="251" t="s">
        <v>278</v>
      </c>
      <c r="F90" s="251" t="s">
        <v>279</v>
      </c>
      <c r="G90" s="252">
        <v>3790982.5419345298</v>
      </c>
      <c r="H90" s="180"/>
      <c r="I90" s="183"/>
    </row>
    <row r="91" spans="1:9">
      <c r="A91" s="251" t="s">
        <v>274</v>
      </c>
      <c r="B91" s="253">
        <v>8482176</v>
      </c>
      <c r="C91" s="251" t="s">
        <v>217</v>
      </c>
      <c r="D91" s="251" t="s">
        <v>22</v>
      </c>
      <c r="E91" s="251" t="s">
        <v>278</v>
      </c>
      <c r="F91" s="251" t="s">
        <v>279</v>
      </c>
      <c r="G91" s="252">
        <v>3775552.5790750799</v>
      </c>
      <c r="H91" s="180"/>
      <c r="I91" s="183"/>
    </row>
    <row r="92" spans="1:9">
      <c r="A92" s="251" t="s">
        <v>274</v>
      </c>
      <c r="B92" s="253">
        <v>8482179</v>
      </c>
      <c r="C92" s="251" t="s">
        <v>218</v>
      </c>
      <c r="D92" s="251" t="s">
        <v>22</v>
      </c>
      <c r="E92" s="251" t="s">
        <v>278</v>
      </c>
      <c r="F92" s="251" t="s">
        <v>279</v>
      </c>
      <c r="G92" s="252">
        <v>3760123.0409104899</v>
      </c>
      <c r="H92" s="180"/>
      <c r="I92" s="183"/>
    </row>
    <row r="93" spans="1:9">
      <c r="A93" s="251" t="s">
        <v>274</v>
      </c>
      <c r="B93" s="253">
        <v>8482182</v>
      </c>
      <c r="C93" s="251" t="s">
        <v>219</v>
      </c>
      <c r="D93" s="251" t="s">
        <v>22</v>
      </c>
      <c r="E93" s="251" t="s">
        <v>278</v>
      </c>
      <c r="F93" s="251" t="s">
        <v>279</v>
      </c>
      <c r="G93" s="252">
        <v>3744693.9283180102</v>
      </c>
      <c r="H93" s="180"/>
      <c r="I93" s="183"/>
    </row>
    <row r="94" spans="1:9">
      <c r="A94" s="251" t="s">
        <v>274</v>
      </c>
      <c r="B94" s="253">
        <v>8482185</v>
      </c>
      <c r="C94" s="251" t="s">
        <v>220</v>
      </c>
      <c r="D94" s="251" t="s">
        <v>22</v>
      </c>
      <c r="E94" s="251" t="s">
        <v>278</v>
      </c>
      <c r="F94" s="251" t="s">
        <v>279</v>
      </c>
      <c r="G94" s="252">
        <v>3729265.2421748498</v>
      </c>
      <c r="H94" s="180"/>
      <c r="I94" s="183"/>
    </row>
    <row r="95" spans="1:9">
      <c r="A95" s="251" t="s">
        <v>274</v>
      </c>
      <c r="B95" s="253">
        <v>8482188</v>
      </c>
      <c r="C95" s="251" t="s">
        <v>221</v>
      </c>
      <c r="D95" s="251" t="s">
        <v>22</v>
      </c>
      <c r="E95" s="251" t="s">
        <v>278</v>
      </c>
      <c r="F95" s="251" t="s">
        <v>279</v>
      </c>
      <c r="G95" s="252">
        <v>3682981.7512125699</v>
      </c>
      <c r="H95" s="180"/>
      <c r="I95" s="183"/>
    </row>
    <row r="96" spans="1:9">
      <c r="A96" s="251" t="s">
        <v>274</v>
      </c>
      <c r="B96" s="253">
        <v>8482191</v>
      </c>
      <c r="C96" s="251" t="s">
        <v>222</v>
      </c>
      <c r="D96" s="251" t="s">
        <v>22</v>
      </c>
      <c r="E96" s="251" t="s">
        <v>278</v>
      </c>
      <c r="F96" s="251" t="s">
        <v>279</v>
      </c>
      <c r="G96" s="252">
        <v>3682981.7512125699</v>
      </c>
      <c r="H96" s="180"/>
      <c r="I96" s="183"/>
    </row>
    <row r="97" spans="1:9">
      <c r="A97" s="251" t="s">
        <v>274</v>
      </c>
      <c r="B97" s="253">
        <v>8482194</v>
      </c>
      <c r="C97" s="251" t="s">
        <v>223</v>
      </c>
      <c r="D97" s="251" t="s">
        <v>22</v>
      </c>
      <c r="E97" s="251" t="s">
        <v>278</v>
      </c>
      <c r="F97" s="251" t="s">
        <v>279</v>
      </c>
      <c r="G97" s="252">
        <v>3682981.7512125699</v>
      </c>
      <c r="H97" s="180"/>
      <c r="I97" s="183"/>
    </row>
    <row r="98" spans="1:9">
      <c r="A98" s="251" t="s">
        <v>274</v>
      </c>
      <c r="B98" s="253">
        <v>8482197</v>
      </c>
      <c r="C98" s="251" t="s">
        <v>224</v>
      </c>
      <c r="D98" s="251" t="s">
        <v>22</v>
      </c>
      <c r="E98" s="251" t="s">
        <v>278</v>
      </c>
      <c r="F98" s="251" t="s">
        <v>279</v>
      </c>
      <c r="G98" s="252">
        <v>3667554.7796376999</v>
      </c>
      <c r="H98" s="180"/>
      <c r="I98" s="183"/>
    </row>
    <row r="99" spans="1:9">
      <c r="A99" s="251" t="s">
        <v>274</v>
      </c>
      <c r="B99" s="253">
        <v>8482200</v>
      </c>
      <c r="C99" s="251" t="s">
        <v>225</v>
      </c>
      <c r="D99" s="251" t="s">
        <v>22</v>
      </c>
      <c r="E99" s="251" t="s">
        <v>278</v>
      </c>
      <c r="F99" s="251" t="s">
        <v>279</v>
      </c>
      <c r="G99" s="252">
        <v>3652128.23889738</v>
      </c>
      <c r="H99" s="180"/>
      <c r="I99" s="183"/>
    </row>
    <row r="100" spans="1:9">
      <c r="A100" s="251" t="s">
        <v>274</v>
      </c>
      <c r="B100" s="253">
        <v>8482203</v>
      </c>
      <c r="C100" s="251" t="s">
        <v>226</v>
      </c>
      <c r="D100" s="251" t="s">
        <v>22</v>
      </c>
      <c r="E100" s="251" t="s">
        <v>278</v>
      </c>
      <c r="F100" s="251" t="s">
        <v>279</v>
      </c>
      <c r="G100" s="252">
        <v>3636702.12986852</v>
      </c>
      <c r="H100" s="180"/>
      <c r="I100" s="183"/>
    </row>
    <row r="101" spans="1:9">
      <c r="A101" s="251" t="s">
        <v>274</v>
      </c>
      <c r="B101" s="253">
        <v>8482206</v>
      </c>
      <c r="C101" s="251" t="s">
        <v>227</v>
      </c>
      <c r="D101" s="251" t="s">
        <v>22</v>
      </c>
      <c r="E101" s="251" t="s">
        <v>278</v>
      </c>
      <c r="F101" s="251" t="s">
        <v>279</v>
      </c>
      <c r="G101" s="252">
        <v>3559578.0910831299</v>
      </c>
      <c r="H101" s="180"/>
      <c r="I101" s="183"/>
    </row>
    <row r="102" spans="1:9">
      <c r="A102" s="251" t="s">
        <v>274</v>
      </c>
      <c r="B102" s="253">
        <v>8482209</v>
      </c>
      <c r="C102" s="251" t="s">
        <v>228</v>
      </c>
      <c r="D102" s="251" t="s">
        <v>22</v>
      </c>
      <c r="E102" s="251" t="s">
        <v>278</v>
      </c>
      <c r="F102" s="251" t="s">
        <v>279</v>
      </c>
      <c r="G102" s="252">
        <v>3559578.0910831299</v>
      </c>
      <c r="H102" s="180"/>
      <c r="I102" s="183"/>
    </row>
    <row r="103" spans="1:9">
      <c r="A103" s="251" t="s">
        <v>274</v>
      </c>
      <c r="B103" s="253">
        <v>8482212</v>
      </c>
      <c r="C103" s="251" t="s">
        <v>229</v>
      </c>
      <c r="D103" s="251" t="s">
        <v>22</v>
      </c>
      <c r="E103" s="251" t="s">
        <v>278</v>
      </c>
      <c r="F103" s="251" t="s">
        <v>279</v>
      </c>
      <c r="G103" s="252">
        <v>3559578.0910831299</v>
      </c>
      <c r="H103" s="180"/>
      <c r="I103" s="183"/>
    </row>
    <row r="104" spans="1:9">
      <c r="A104" s="251" t="s">
        <v>274</v>
      </c>
      <c r="B104" s="253">
        <v>8482215</v>
      </c>
      <c r="C104" s="251" t="s">
        <v>230</v>
      </c>
      <c r="D104" s="251" t="s">
        <v>22</v>
      </c>
      <c r="E104" s="251" t="s">
        <v>278</v>
      </c>
      <c r="F104" s="251" t="s">
        <v>279</v>
      </c>
      <c r="G104" s="252">
        <v>3559578.0910831299</v>
      </c>
      <c r="H104" s="180"/>
      <c r="I104" s="183"/>
    </row>
    <row r="105" spans="1:9">
      <c r="A105" s="251" t="s">
        <v>274</v>
      </c>
      <c r="B105" s="253">
        <v>8482218</v>
      </c>
      <c r="C105" s="251" t="s">
        <v>231</v>
      </c>
      <c r="D105" s="251" t="s">
        <v>22</v>
      </c>
      <c r="E105" s="251" t="s">
        <v>278</v>
      </c>
      <c r="F105" s="251" t="s">
        <v>279</v>
      </c>
      <c r="G105" s="252">
        <v>3559578.0910831299</v>
      </c>
      <c r="H105" s="180"/>
      <c r="I105" s="183"/>
    </row>
    <row r="106" spans="1:9">
      <c r="A106" s="251" t="s">
        <v>274</v>
      </c>
      <c r="B106" s="253">
        <v>8482221</v>
      </c>
      <c r="C106" s="251" t="s">
        <v>232</v>
      </c>
      <c r="D106" s="251" t="s">
        <v>22</v>
      </c>
      <c r="E106" s="251" t="s">
        <v>278</v>
      </c>
      <c r="F106" s="251" t="s">
        <v>279</v>
      </c>
      <c r="G106" s="252">
        <v>3544154.5907345498</v>
      </c>
      <c r="H106" s="180"/>
      <c r="I106" s="183"/>
    </row>
    <row r="107" spans="1:9">
      <c r="A107" s="251" t="s">
        <v>274</v>
      </c>
      <c r="B107" s="253">
        <v>8482224</v>
      </c>
      <c r="C107" s="251" t="s">
        <v>233</v>
      </c>
      <c r="D107" s="251" t="s">
        <v>22</v>
      </c>
      <c r="E107" s="251" t="s">
        <v>278</v>
      </c>
      <c r="F107" s="251" t="s">
        <v>279</v>
      </c>
      <c r="G107" s="252">
        <v>3528731.5282341298</v>
      </c>
      <c r="H107" s="180"/>
      <c r="I107" s="183"/>
    </row>
    <row r="108" spans="1:9">
      <c r="A108" s="251" t="s">
        <v>274</v>
      </c>
      <c r="B108" s="253">
        <v>8482227</v>
      </c>
      <c r="C108" s="251" t="s">
        <v>234</v>
      </c>
      <c r="D108" s="251" t="s">
        <v>22</v>
      </c>
      <c r="E108" s="251" t="s">
        <v>278</v>
      </c>
      <c r="F108" s="251" t="s">
        <v>279</v>
      </c>
      <c r="G108" s="252">
        <v>3513308.9044583198</v>
      </c>
      <c r="H108" s="180"/>
      <c r="I108" s="183"/>
    </row>
    <row r="109" spans="1:9">
      <c r="A109" s="251" t="s">
        <v>274</v>
      </c>
      <c r="B109" s="253">
        <v>8482230</v>
      </c>
      <c r="C109" s="251" t="s">
        <v>235</v>
      </c>
      <c r="D109" s="251" t="s">
        <v>116</v>
      </c>
      <c r="E109" s="251" t="s">
        <v>275</v>
      </c>
      <c r="F109" s="251" t="s">
        <v>276</v>
      </c>
      <c r="G109" s="252">
        <v>2380703.4112999002</v>
      </c>
      <c r="H109" s="180"/>
      <c r="I109" s="183"/>
    </row>
    <row r="110" spans="1:9">
      <c r="A110" s="251" t="s">
        <v>274</v>
      </c>
      <c r="B110" s="253">
        <v>8482233</v>
      </c>
      <c r="C110" s="251" t="s">
        <v>236</v>
      </c>
      <c r="D110" s="251" t="s">
        <v>22</v>
      </c>
      <c r="E110" s="251" t="s">
        <v>280</v>
      </c>
      <c r="F110" s="251" t="s">
        <v>281</v>
      </c>
      <c r="G110" s="252">
        <v>279264.75630424399</v>
      </c>
      <c r="H110" s="180"/>
      <c r="I110" s="183"/>
    </row>
    <row r="111" spans="1:9">
      <c r="A111" s="251" t="s">
        <v>274</v>
      </c>
      <c r="B111" s="253">
        <v>8482239</v>
      </c>
      <c r="C111" s="251" t="s">
        <v>238</v>
      </c>
      <c r="D111" s="251" t="s">
        <v>22</v>
      </c>
      <c r="E111" s="251" t="s">
        <v>278</v>
      </c>
      <c r="F111" s="251" t="s">
        <v>279</v>
      </c>
      <c r="G111" s="252">
        <v>-610394.501535955</v>
      </c>
      <c r="H111" s="180"/>
      <c r="I111" s="183"/>
    </row>
    <row r="112" spans="1:9">
      <c r="A112" s="251" t="s">
        <v>274</v>
      </c>
      <c r="B112" s="253">
        <v>8482242</v>
      </c>
      <c r="C112" s="251" t="s">
        <v>239</v>
      </c>
      <c r="D112" s="251" t="s">
        <v>22</v>
      </c>
      <c r="E112" s="251" t="s">
        <v>278</v>
      </c>
      <c r="F112" s="251" t="s">
        <v>279</v>
      </c>
      <c r="G112" s="252">
        <v>-4.3958425521850999E-7</v>
      </c>
      <c r="I112" s="183"/>
    </row>
    <row r="113" spans="1:9">
      <c r="A113" s="251" t="s">
        <v>274</v>
      </c>
      <c r="B113" s="253">
        <v>8482245</v>
      </c>
      <c r="C113" s="251" t="s">
        <v>240</v>
      </c>
      <c r="D113" s="251" t="s">
        <v>22</v>
      </c>
      <c r="E113" s="251" t="s">
        <v>278</v>
      </c>
      <c r="F113" s="251" t="s">
        <v>279</v>
      </c>
      <c r="G113" s="252">
        <v>-4.7986395657062001E-7</v>
      </c>
      <c r="I113" s="183"/>
    </row>
    <row r="114" spans="1:9">
      <c r="A114" s="251" t="s">
        <v>274</v>
      </c>
      <c r="B114" s="253">
        <v>8482251</v>
      </c>
      <c r="C114" s="251" t="s">
        <v>242</v>
      </c>
      <c r="D114" s="251" t="s">
        <v>116</v>
      </c>
      <c r="E114" s="251" t="s">
        <v>275</v>
      </c>
      <c r="F114" s="251" t="s">
        <v>276</v>
      </c>
      <c r="G114" s="252">
        <v>1.18732452392578E-4</v>
      </c>
      <c r="I114" s="183"/>
    </row>
    <row r="115" spans="1:9">
      <c r="A115" s="251" t="s">
        <v>274</v>
      </c>
      <c r="B115" s="253">
        <v>8482260</v>
      </c>
      <c r="C115" s="251" t="s">
        <v>245</v>
      </c>
      <c r="D115" s="251" t="s">
        <v>22</v>
      </c>
      <c r="E115" s="251" t="s">
        <v>280</v>
      </c>
      <c r="F115" s="251" t="s">
        <v>281</v>
      </c>
      <c r="G115" s="252">
        <v>1.7136335372925001E-7</v>
      </c>
      <c r="H115" s="180"/>
      <c r="I115" s="183"/>
    </row>
    <row r="116" spans="1:9">
      <c r="A116" s="251" t="s">
        <v>274</v>
      </c>
      <c r="B116" s="253">
        <v>8482263</v>
      </c>
      <c r="C116" s="251" t="s">
        <v>246</v>
      </c>
      <c r="D116" s="251" t="s">
        <v>22</v>
      </c>
      <c r="E116" s="251" t="s">
        <v>280</v>
      </c>
      <c r="F116" s="251" t="s">
        <v>281</v>
      </c>
      <c r="G116" s="252">
        <v>-2.2351741790769999E-8</v>
      </c>
      <c r="H116" s="180"/>
      <c r="I116" s="183"/>
    </row>
    <row r="117" spans="1:9">
      <c r="A117" s="251" t="s">
        <v>274</v>
      </c>
      <c r="B117" s="253">
        <v>8482266</v>
      </c>
      <c r="C117" s="251" t="s">
        <v>247</v>
      </c>
      <c r="D117" s="251" t="s">
        <v>116</v>
      </c>
      <c r="E117" s="251" t="s">
        <v>275</v>
      </c>
      <c r="F117" s="251" t="s">
        <v>276</v>
      </c>
      <c r="G117" s="252">
        <v>1616539.19089497</v>
      </c>
      <c r="H117" s="180"/>
      <c r="I117" s="183"/>
    </row>
    <row r="118" spans="1:9">
      <c r="A118" s="251" t="s">
        <v>274</v>
      </c>
      <c r="B118" s="253">
        <v>8482269</v>
      </c>
      <c r="C118" s="251" t="s">
        <v>248</v>
      </c>
      <c r="D118" s="251" t="s">
        <v>22</v>
      </c>
      <c r="E118" s="251" t="s">
        <v>280</v>
      </c>
      <c r="F118" s="251" t="s">
        <v>281</v>
      </c>
      <c r="G118" s="252">
        <v>-36706.1609859003</v>
      </c>
      <c r="H118" s="180"/>
      <c r="I118" s="183"/>
    </row>
    <row r="119" spans="1:9">
      <c r="A119" s="251" t="s">
        <v>274</v>
      </c>
      <c r="B119" s="253">
        <v>8482272</v>
      </c>
      <c r="C119" s="251" t="s">
        <v>249</v>
      </c>
      <c r="D119" s="251" t="s">
        <v>117</v>
      </c>
      <c r="E119" s="251" t="s">
        <v>277</v>
      </c>
      <c r="F119" s="251" t="s">
        <v>259</v>
      </c>
      <c r="G119" s="252">
        <v>-544340.89389988</v>
      </c>
      <c r="H119" s="180"/>
      <c r="I119" s="183"/>
    </row>
    <row r="120" spans="1:9">
      <c r="A120" s="251" t="s">
        <v>274</v>
      </c>
      <c r="B120" s="253">
        <v>8482275</v>
      </c>
      <c r="C120" s="251" t="s">
        <v>250</v>
      </c>
      <c r="D120" s="251" t="s">
        <v>22</v>
      </c>
      <c r="E120" s="251" t="s">
        <v>278</v>
      </c>
      <c r="F120" s="251" t="s">
        <v>279</v>
      </c>
      <c r="G120" s="252">
        <v>-387795.546680203</v>
      </c>
      <c r="H120" s="180"/>
      <c r="I120" s="183"/>
    </row>
    <row r="121" spans="1:9">
      <c r="A121" s="251" t="s">
        <v>274</v>
      </c>
      <c r="B121" s="253">
        <v>8482278</v>
      </c>
      <c r="C121" s="251" t="s">
        <v>251</v>
      </c>
      <c r="D121" s="251" t="s">
        <v>116</v>
      </c>
      <c r="E121" s="251" t="s">
        <v>275</v>
      </c>
      <c r="F121" s="251" t="s">
        <v>276</v>
      </c>
      <c r="G121" s="252">
        <v>18822147.5939674</v>
      </c>
      <c r="H121" s="180"/>
      <c r="I121" s="183"/>
    </row>
    <row r="122" spans="1:9">
      <c r="A122" s="251" t="s">
        <v>274</v>
      </c>
      <c r="B122" s="253">
        <v>8482284</v>
      </c>
      <c r="C122" s="251" t="s">
        <v>253</v>
      </c>
      <c r="D122" s="251" t="s">
        <v>117</v>
      </c>
      <c r="E122" s="251" t="s">
        <v>277</v>
      </c>
      <c r="F122" s="251" t="s">
        <v>259</v>
      </c>
      <c r="G122" s="252">
        <v>27760358.747561298</v>
      </c>
      <c r="H122" s="180"/>
      <c r="I122" s="183"/>
    </row>
    <row r="123" spans="1:9">
      <c r="A123" s="251" t="s">
        <v>274</v>
      </c>
      <c r="B123" s="253">
        <v>8482288</v>
      </c>
      <c r="C123" s="251" t="s">
        <v>254</v>
      </c>
      <c r="D123" s="251" t="s">
        <v>22</v>
      </c>
      <c r="E123" s="251" t="s">
        <v>278</v>
      </c>
      <c r="F123" s="251" t="s">
        <v>279</v>
      </c>
      <c r="G123" s="252">
        <v>37611566.022830904</v>
      </c>
      <c r="H123" s="180"/>
      <c r="I123" s="183"/>
    </row>
    <row r="124" spans="1:9">
      <c r="A124" s="251" t="s">
        <v>274</v>
      </c>
      <c r="B124" s="253">
        <v>8482298</v>
      </c>
      <c r="C124" s="251" t="s">
        <v>297</v>
      </c>
      <c r="D124" s="251" t="s">
        <v>116</v>
      </c>
      <c r="E124" s="251" t="s">
        <v>284</v>
      </c>
      <c r="F124" s="251" t="s">
        <v>276</v>
      </c>
      <c r="G124" s="252">
        <v>85867135.690638706</v>
      </c>
      <c r="H124" s="180"/>
      <c r="I124" s="183"/>
    </row>
    <row r="125" spans="1:9">
      <c r="A125" s="251" t="s">
        <v>274</v>
      </c>
      <c r="B125" s="253">
        <v>8482301</v>
      </c>
      <c r="C125" s="251" t="s">
        <v>252</v>
      </c>
      <c r="D125" s="251" t="s">
        <v>22</v>
      </c>
      <c r="E125" s="251" t="s">
        <v>280</v>
      </c>
      <c r="F125" s="251" t="s">
        <v>281</v>
      </c>
      <c r="G125" s="252">
        <v>62438132.982560098</v>
      </c>
      <c r="H125" s="180"/>
      <c r="I125" s="183"/>
    </row>
    <row r="126" spans="1:9">
      <c r="A126" s="251" t="s">
        <v>274</v>
      </c>
      <c r="B126" s="253">
        <v>8482305</v>
      </c>
      <c r="C126" s="251" t="s">
        <v>135</v>
      </c>
      <c r="D126" s="251" t="s">
        <v>117</v>
      </c>
      <c r="E126" s="251" t="s">
        <v>298</v>
      </c>
      <c r="F126" s="251" t="s">
        <v>259</v>
      </c>
      <c r="G126" s="252">
        <v>33212764.275903601</v>
      </c>
      <c r="H126" s="180"/>
      <c r="I126" s="183"/>
    </row>
    <row r="127" spans="1:9">
      <c r="A127" s="251" t="s">
        <v>274</v>
      </c>
      <c r="B127" s="253">
        <v>8482308</v>
      </c>
      <c r="C127" s="251" t="s">
        <v>139</v>
      </c>
      <c r="D127" s="251" t="s">
        <v>117</v>
      </c>
      <c r="E127" s="251" t="s">
        <v>277</v>
      </c>
      <c r="F127" s="251" t="s">
        <v>259</v>
      </c>
      <c r="G127" s="252">
        <v>-1812108.2478895599</v>
      </c>
      <c r="H127" s="180"/>
      <c r="I127" s="183"/>
    </row>
    <row r="128" spans="1:9">
      <c r="A128" s="251" t="s">
        <v>274</v>
      </c>
      <c r="B128" s="253">
        <v>8482311</v>
      </c>
      <c r="C128" s="251" t="s">
        <v>237</v>
      </c>
      <c r="D128" s="251" t="s">
        <v>117</v>
      </c>
      <c r="E128" s="251" t="s">
        <v>277</v>
      </c>
      <c r="F128" s="251" t="s">
        <v>259</v>
      </c>
      <c r="G128" s="252">
        <v>-161495.008111692</v>
      </c>
      <c r="H128" s="180"/>
      <c r="I128" s="183"/>
    </row>
    <row r="129" spans="1:9">
      <c r="A129" s="251" t="s">
        <v>274</v>
      </c>
      <c r="B129" s="253">
        <v>8482314</v>
      </c>
      <c r="C129" s="251" t="s">
        <v>243</v>
      </c>
      <c r="D129" s="251" t="s">
        <v>117</v>
      </c>
      <c r="E129" s="251" t="s">
        <v>277</v>
      </c>
      <c r="F129" s="251" t="s">
        <v>259</v>
      </c>
      <c r="G129" s="252">
        <v>-73.561260987073197</v>
      </c>
      <c r="I129" s="183"/>
    </row>
    <row r="130" spans="1:9">
      <c r="A130" s="251" t="s">
        <v>274</v>
      </c>
      <c r="B130" s="253">
        <v>8482317</v>
      </c>
      <c r="C130" s="251" t="s">
        <v>244</v>
      </c>
      <c r="D130" s="251" t="s">
        <v>117</v>
      </c>
      <c r="E130" s="251" t="s">
        <v>277</v>
      </c>
      <c r="F130" s="251" t="s">
        <v>259</v>
      </c>
      <c r="G130" s="252">
        <v>5.4165720939636203E-5</v>
      </c>
      <c r="I130" s="183"/>
    </row>
    <row r="131" spans="1:9">
      <c r="A131" s="251" t="s">
        <v>274</v>
      </c>
      <c r="B131" s="253">
        <v>8482320</v>
      </c>
      <c r="C131" s="251" t="s">
        <v>241</v>
      </c>
      <c r="D131" s="251" t="s">
        <v>116</v>
      </c>
      <c r="E131" s="251" t="s">
        <v>275</v>
      </c>
      <c r="F131" s="251" t="s">
        <v>276</v>
      </c>
      <c r="G131" s="252">
        <v>-62783.365415325898</v>
      </c>
      <c r="I131" s="183"/>
    </row>
    <row r="132" spans="1:9">
      <c r="A132" s="251" t="s">
        <v>274</v>
      </c>
      <c r="B132" s="253">
        <v>8482323</v>
      </c>
      <c r="C132" s="251" t="s">
        <v>299</v>
      </c>
      <c r="D132" s="251" t="s">
        <v>116</v>
      </c>
      <c r="E132" s="251" t="s">
        <v>275</v>
      </c>
      <c r="F132" s="251" t="s">
        <v>276</v>
      </c>
      <c r="G132" s="252">
        <v>1.02492514997721E-4</v>
      </c>
      <c r="H132" s="180"/>
      <c r="I132" s="183"/>
    </row>
    <row r="133" spans="1:9">
      <c r="A133" s="251" t="s">
        <v>274</v>
      </c>
      <c r="B133" s="253">
        <v>8482326</v>
      </c>
      <c r="C133" s="251" t="s">
        <v>300</v>
      </c>
      <c r="D133" s="251" t="s">
        <v>117</v>
      </c>
      <c r="E133" s="251" t="s">
        <v>277</v>
      </c>
      <c r="F133" s="251" t="s">
        <v>259</v>
      </c>
      <c r="G133" s="252">
        <v>2.328306436539E-8</v>
      </c>
      <c r="I133" s="183"/>
    </row>
    <row r="134" spans="1:9">
      <c r="A134" s="251" t="s">
        <v>274</v>
      </c>
      <c r="B134" s="253">
        <v>8482329</v>
      </c>
      <c r="C134" s="251" t="s">
        <v>301</v>
      </c>
      <c r="D134" s="251" t="s">
        <v>116</v>
      </c>
      <c r="E134" s="251" t="s">
        <v>275</v>
      </c>
      <c r="F134" s="251" t="s">
        <v>276</v>
      </c>
      <c r="G134" s="252">
        <v>1.6167759895324701E-6</v>
      </c>
      <c r="H134" s="180"/>
      <c r="I134" s="18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H89"/>
  <sheetViews>
    <sheetView topLeftCell="A19" workbookViewId="0">
      <selection activeCell="B39" sqref="B39"/>
    </sheetView>
  </sheetViews>
  <sheetFormatPr defaultRowHeight="15"/>
  <cols>
    <col min="1" max="1" width="18.28515625" bestFit="1" customWidth="1"/>
    <col min="2" max="2" width="14.140625" bestFit="1" customWidth="1"/>
    <col min="3" max="3" width="13.42578125" bestFit="1" customWidth="1"/>
    <col min="4" max="4" width="20.42578125" bestFit="1" customWidth="1"/>
    <col min="5" max="5" width="13.42578125" bestFit="1" customWidth="1"/>
    <col min="6" max="6" width="14.42578125" bestFit="1" customWidth="1"/>
    <col min="7" max="7" width="20.42578125" bestFit="1" customWidth="1"/>
    <col min="8" max="8" width="21.7109375" bestFit="1" customWidth="1"/>
  </cols>
  <sheetData>
    <row r="1" spans="1:8">
      <c r="A1" s="181" t="s">
        <v>268</v>
      </c>
      <c r="B1" s="249" t="s">
        <v>255</v>
      </c>
      <c r="C1" s="249" t="s">
        <v>0</v>
      </c>
      <c r="D1" s="249" t="s">
        <v>256</v>
      </c>
      <c r="E1" s="249" t="s">
        <v>266</v>
      </c>
      <c r="F1" s="249" t="s">
        <v>267</v>
      </c>
      <c r="G1" s="249" t="s">
        <v>265</v>
      </c>
      <c r="H1" s="249" t="s">
        <v>269</v>
      </c>
    </row>
    <row r="2" spans="1:8">
      <c r="A2" s="176" t="str">
        <f>B2&amp;"_"&amp;C2</f>
        <v>FR CPI XT NR - IM_1Y</v>
      </c>
      <c r="B2" s="249" t="s">
        <v>342</v>
      </c>
      <c r="C2" s="249" t="s">
        <v>91</v>
      </c>
      <c r="D2" s="250">
        <v>-25499.124634869899</v>
      </c>
      <c r="E2" s="250">
        <v>-2085010.2400859999</v>
      </c>
      <c r="F2" s="250">
        <v>-22676.4282664887</v>
      </c>
      <c r="G2" s="249">
        <v>0.75595688075659995</v>
      </c>
      <c r="H2" s="249">
        <v>1.01253486234518</v>
      </c>
    </row>
    <row r="3" spans="1:8">
      <c r="A3" s="176" t="str">
        <f t="shared" ref="A3:A66" si="0">B3&amp;"_"&amp;C3</f>
        <v>FR CPI XT NR - IM_2Y</v>
      </c>
      <c r="B3" s="249" t="s">
        <v>342</v>
      </c>
      <c r="C3" s="249" t="s">
        <v>35</v>
      </c>
      <c r="D3" s="250">
        <v>151945.904541606</v>
      </c>
      <c r="E3" s="250">
        <v>6055809.9487367403</v>
      </c>
      <c r="F3" s="250">
        <v>148643.69200339299</v>
      </c>
      <c r="G3" s="249">
        <v>25.495698749791199</v>
      </c>
      <c r="H3" s="249">
        <v>32.587842109361702</v>
      </c>
    </row>
    <row r="4" spans="1:8">
      <c r="A4" s="176" t="str">
        <f t="shared" si="0"/>
        <v>FR CPI XT NR - IM_3Y</v>
      </c>
      <c r="B4" s="249" t="s">
        <v>342</v>
      </c>
      <c r="C4" s="249" t="s">
        <v>36</v>
      </c>
      <c r="D4" s="250">
        <v>824836.93100890995</v>
      </c>
      <c r="E4" s="250">
        <v>21298551.456165899</v>
      </c>
      <c r="F4" s="250">
        <v>796015.80258498294</v>
      </c>
      <c r="G4" s="249">
        <v>146.27802594494901</v>
      </c>
      <c r="H4" s="249">
        <v>124.802461942232</v>
      </c>
    </row>
    <row r="5" spans="1:8">
      <c r="A5" s="176" t="str">
        <f t="shared" si="0"/>
        <v>FR CPI XT NR - IM_4Y</v>
      </c>
      <c r="B5" s="249" t="s">
        <v>342</v>
      </c>
      <c r="C5" s="249" t="s">
        <v>65</v>
      </c>
      <c r="D5" s="249">
        <v>1.5409481113299999E-9</v>
      </c>
      <c r="E5" s="249"/>
      <c r="F5" s="249"/>
      <c r="G5" s="249"/>
      <c r="H5" s="249"/>
    </row>
    <row r="6" spans="1:8">
      <c r="A6" s="176" t="str">
        <f t="shared" si="0"/>
        <v>FR CPI XT NR - IM_5Y</v>
      </c>
      <c r="B6" s="249" t="s">
        <v>342</v>
      </c>
      <c r="C6" s="249" t="s">
        <v>66</v>
      </c>
      <c r="D6" s="249">
        <v>-2.5765417911861998E-7</v>
      </c>
      <c r="E6" s="249"/>
      <c r="F6" s="249"/>
      <c r="G6" s="249">
        <v>-2.1920726461000001E-10</v>
      </c>
      <c r="H6" s="249"/>
    </row>
    <row r="7" spans="1:8">
      <c r="A7" s="176" t="str">
        <f t="shared" si="0"/>
        <v>FR CPI XT NR - IM_6Y</v>
      </c>
      <c r="B7" s="249" t="s">
        <v>342</v>
      </c>
      <c r="C7" s="249" t="s">
        <v>67</v>
      </c>
      <c r="D7" s="249">
        <v>4.1374630025905402E-5</v>
      </c>
      <c r="E7" s="249"/>
      <c r="F7" s="249"/>
      <c r="G7" s="249">
        <v>4.1863776121199997E-8</v>
      </c>
      <c r="H7" s="249"/>
    </row>
    <row r="8" spans="1:8">
      <c r="A8" s="176" t="str">
        <f t="shared" si="0"/>
        <v>FR CPI XT NR - IM_7Y</v>
      </c>
      <c r="B8" s="249" t="s">
        <v>342</v>
      </c>
      <c r="C8" s="249" t="s">
        <v>68</v>
      </c>
      <c r="D8" s="249">
        <v>-6.2553042235346896E-3</v>
      </c>
      <c r="E8" s="249"/>
      <c r="F8" s="249"/>
      <c r="G8" s="249">
        <v>-6.3556937481441004E-6</v>
      </c>
      <c r="H8" s="249"/>
    </row>
    <row r="9" spans="1:8">
      <c r="A9" s="176" t="str">
        <f t="shared" si="0"/>
        <v>FR CPI XT NR - IM_8Y</v>
      </c>
      <c r="B9" s="249" t="s">
        <v>342</v>
      </c>
      <c r="C9" s="249" t="s">
        <v>69</v>
      </c>
      <c r="D9" s="249">
        <v>0.956654191667489</v>
      </c>
      <c r="E9" s="249"/>
      <c r="F9" s="249"/>
      <c r="G9" s="249">
        <v>9.7851745234113106E-4</v>
      </c>
      <c r="H9" s="249"/>
    </row>
    <row r="10" spans="1:8">
      <c r="A10" s="176" t="str">
        <f t="shared" si="0"/>
        <v>FR CPI XT NR - IM_9Y</v>
      </c>
      <c r="B10" s="249" t="s">
        <v>342</v>
      </c>
      <c r="C10" s="249" t="s">
        <v>70</v>
      </c>
      <c r="D10" s="249">
        <v>-144.07127897713099</v>
      </c>
      <c r="E10" s="249"/>
      <c r="F10" s="249"/>
      <c r="G10" s="249">
        <v>-0.14834626053293001</v>
      </c>
      <c r="H10" s="249"/>
    </row>
    <row r="11" spans="1:8">
      <c r="A11" s="176" t="str">
        <f t="shared" si="0"/>
        <v>FR CPI XT NR - IM_10Y</v>
      </c>
      <c r="B11" s="249" t="s">
        <v>342</v>
      </c>
      <c r="C11" s="249" t="s">
        <v>71</v>
      </c>
      <c r="D11" s="250">
        <v>21432.068632336701</v>
      </c>
      <c r="E11" s="250">
        <v>137244.72606956901</v>
      </c>
      <c r="F11" s="250">
        <v>21396.936200723601</v>
      </c>
      <c r="G11" s="249">
        <v>22.2146410621835</v>
      </c>
      <c r="H11" s="249">
        <v>25.445319148661</v>
      </c>
    </row>
    <row r="12" spans="1:8">
      <c r="A12" s="176" t="str">
        <f t="shared" si="0"/>
        <v>FR CPI XT NR - IM_12Y</v>
      </c>
      <c r="B12" s="249" t="s">
        <v>342</v>
      </c>
      <c r="C12" s="249" t="s">
        <v>72</v>
      </c>
      <c r="D12" s="250">
        <v>98145.949024814399</v>
      </c>
      <c r="E12" s="250">
        <v>518756.69503621099</v>
      </c>
      <c r="F12" s="250">
        <v>97105.677672850899</v>
      </c>
      <c r="G12" s="249">
        <v>101.737194091774</v>
      </c>
      <c r="H12" s="249">
        <v>96.206670939243196</v>
      </c>
    </row>
    <row r="13" spans="1:8">
      <c r="A13" s="176" t="str">
        <f t="shared" si="0"/>
        <v>FR CPI XT NR - IM_15Y</v>
      </c>
      <c r="B13" s="249" t="s">
        <v>342</v>
      </c>
      <c r="C13" s="249" t="s">
        <v>73</v>
      </c>
      <c r="D13" s="249">
        <v>77.3268960915657</v>
      </c>
      <c r="E13" s="249"/>
      <c r="F13" s="249"/>
      <c r="G13" s="249">
        <v>0.167735459045112</v>
      </c>
      <c r="H13" s="249"/>
    </row>
    <row r="14" spans="1:8">
      <c r="A14" s="176" t="str">
        <f t="shared" si="0"/>
        <v>FR CPI XT NR - IM_20Y</v>
      </c>
      <c r="B14" s="249" t="s">
        <v>342</v>
      </c>
      <c r="C14" s="249" t="s">
        <v>74</v>
      </c>
      <c r="D14" s="250">
        <v>-69391.332372991004</v>
      </c>
      <c r="E14" s="250">
        <v>-165365.74247510399</v>
      </c>
      <c r="F14" s="250">
        <v>-68952.466026738301</v>
      </c>
      <c r="G14" s="249">
        <v>-151.03658299878299</v>
      </c>
      <c r="H14" s="249">
        <v>-173.563707492536</v>
      </c>
    </row>
    <row r="15" spans="1:8">
      <c r="A15" s="176" t="str">
        <f t="shared" si="0"/>
        <v>FR CPI XT NR - IM_25Y</v>
      </c>
      <c r="B15" s="249" t="s">
        <v>342</v>
      </c>
      <c r="C15" s="249" t="s">
        <v>75</v>
      </c>
      <c r="D15" s="250">
        <v>40472.558393853098</v>
      </c>
      <c r="E15" s="250">
        <v>52381.527277599598</v>
      </c>
      <c r="F15" s="250">
        <v>40702.374502845603</v>
      </c>
      <c r="G15" s="249">
        <v>141.06699744474</v>
      </c>
      <c r="H15" s="249">
        <v>181.51629374003099</v>
      </c>
    </row>
    <row r="16" spans="1:8">
      <c r="A16" s="176" t="str">
        <f t="shared" si="0"/>
        <v>FR CPI XT NR - IM_30Y</v>
      </c>
      <c r="B16" s="249" t="s">
        <v>342</v>
      </c>
      <c r="C16" s="249" t="s">
        <v>76</v>
      </c>
      <c r="D16" s="250">
        <v>344816.53514907102</v>
      </c>
      <c r="E16" s="250">
        <v>472139.754049693</v>
      </c>
      <c r="F16" s="250">
        <v>343350.48472475301</v>
      </c>
      <c r="G16" s="249">
        <v>955.89122190666205</v>
      </c>
      <c r="H16" s="249">
        <v>931.13294287154599</v>
      </c>
    </row>
    <row r="17" spans="1:8">
      <c r="A17" s="176" t="str">
        <f t="shared" si="0"/>
        <v>GB RPI AI 2M - IM_1Y</v>
      </c>
      <c r="B17" s="249" t="s">
        <v>343</v>
      </c>
      <c r="C17" s="249" t="s">
        <v>91</v>
      </c>
      <c r="D17" s="250">
        <v>8058.0963797106197</v>
      </c>
      <c r="E17" s="250">
        <v>1216884.56358666</v>
      </c>
      <c r="F17" s="250">
        <v>7376.1330125908598</v>
      </c>
      <c r="G17" s="249">
        <v>-0.50652105156916205</v>
      </c>
      <c r="H17" s="249">
        <v>-0.484071046748556</v>
      </c>
    </row>
    <row r="18" spans="1:8">
      <c r="A18" s="176" t="str">
        <f t="shared" si="0"/>
        <v>GB RPI AI 2M - IM_2Y</v>
      </c>
      <c r="B18" s="249" t="s">
        <v>343</v>
      </c>
      <c r="C18" s="249" t="s">
        <v>35</v>
      </c>
      <c r="D18" s="249">
        <v>0</v>
      </c>
      <c r="E18" s="249">
        <v>0</v>
      </c>
      <c r="F18" s="249">
        <v>0</v>
      </c>
      <c r="G18" s="249">
        <v>0</v>
      </c>
      <c r="H18" s="249">
        <v>0</v>
      </c>
    </row>
    <row r="19" spans="1:8">
      <c r="A19" s="176" t="str">
        <f t="shared" si="0"/>
        <v>GB RPI AI 2M - IM_15Y</v>
      </c>
      <c r="B19" s="249" t="s">
        <v>343</v>
      </c>
      <c r="C19" s="249" t="s">
        <v>73</v>
      </c>
      <c r="D19" s="250">
        <v>96493.982572145804</v>
      </c>
      <c r="E19" s="250">
        <v>157770.369615156</v>
      </c>
      <c r="F19" s="250">
        <v>95948.594915273497</v>
      </c>
      <c r="G19" s="249">
        <v>149.78401000137299</v>
      </c>
      <c r="H19" s="249">
        <v>167.87317159794199</v>
      </c>
    </row>
    <row r="20" spans="1:8">
      <c r="A20" s="176" t="str">
        <f t="shared" si="0"/>
        <v>GB RPI AI 2M - IM_20Y</v>
      </c>
      <c r="B20" s="249" t="s">
        <v>343</v>
      </c>
      <c r="C20" s="249" t="s">
        <v>74</v>
      </c>
      <c r="D20" s="250">
        <v>99981.796479765195</v>
      </c>
      <c r="E20" s="250">
        <v>118376.638469382</v>
      </c>
      <c r="F20" s="250">
        <v>99557.433551688504</v>
      </c>
      <c r="G20" s="249">
        <v>165.86595672398701</v>
      </c>
      <c r="H20" s="249">
        <v>151.41308422423899</v>
      </c>
    </row>
    <row r="21" spans="1:8">
      <c r="A21" s="176" t="str">
        <f t="shared" si="0"/>
        <v>GB RPI AI 2M - IM_25Y</v>
      </c>
      <c r="B21" s="249" t="s">
        <v>343</v>
      </c>
      <c r="C21" s="249" t="s">
        <v>75</v>
      </c>
      <c r="D21" s="250">
        <v>250455.07455735299</v>
      </c>
      <c r="E21" s="250">
        <v>188973.04333488099</v>
      </c>
      <c r="F21" s="250">
        <v>249604.17174823899</v>
      </c>
      <c r="G21" s="249">
        <v>574.66225434427804</v>
      </c>
      <c r="H21" s="249">
        <v>562.97643342316996</v>
      </c>
    </row>
    <row r="22" spans="1:8">
      <c r="A22" s="176" t="str">
        <f t="shared" si="0"/>
        <v>GB RPI AI 2M - IM_30Y</v>
      </c>
      <c r="B22" s="249" t="s">
        <v>343</v>
      </c>
      <c r="C22" s="249" t="s">
        <v>76</v>
      </c>
      <c r="D22" s="250">
        <v>130153.66226360601</v>
      </c>
      <c r="E22" s="250">
        <v>54692.868610329097</v>
      </c>
      <c r="F22" s="250">
        <v>129784.903133265</v>
      </c>
      <c r="G22" s="249">
        <v>441.19488374348703</v>
      </c>
      <c r="H22" s="249">
        <v>526.10180763706796</v>
      </c>
    </row>
    <row r="23" spans="1:8">
      <c r="A23" s="176" t="str">
        <f t="shared" si="0"/>
        <v>GB RPI AI 2M - IM_40Y</v>
      </c>
      <c r="B23" s="249" t="s">
        <v>343</v>
      </c>
      <c r="C23" s="249" t="s">
        <v>77</v>
      </c>
      <c r="D23" s="250">
        <v>260211.642744927</v>
      </c>
      <c r="E23" s="250">
        <v>82058.020529665504</v>
      </c>
      <c r="F23" s="250">
        <v>259658.50800051901</v>
      </c>
      <c r="G23" s="249">
        <v>882.86402424761695</v>
      </c>
      <c r="H23" s="249">
        <v>789.33275998662202</v>
      </c>
    </row>
    <row r="24" spans="1:8">
      <c r="A24" s="176" t="str">
        <f t="shared" si="0"/>
        <v>GB RPI AI 2M - IM_50Y</v>
      </c>
      <c r="B24" s="249" t="s">
        <v>343</v>
      </c>
      <c r="C24" s="249" t="s">
        <v>78</v>
      </c>
      <c r="D24" s="250">
        <v>549721.55722722702</v>
      </c>
      <c r="E24" s="250">
        <v>85048.973065234401</v>
      </c>
      <c r="F24" s="250">
        <v>548786.36341603298</v>
      </c>
      <c r="G24" s="250">
        <v>2610.5877847585398</v>
      </c>
      <c r="H24" s="250">
        <v>2595.5918677618502</v>
      </c>
    </row>
    <row r="25" spans="1:8">
      <c r="A25" s="176" t="str">
        <f t="shared" si="0"/>
        <v>HICP CPI XT NR - IM_1Y</v>
      </c>
      <c r="B25" s="249" t="s">
        <v>344</v>
      </c>
      <c r="C25" s="249" t="s">
        <v>91</v>
      </c>
      <c r="D25" s="250">
        <v>11991.4000715861</v>
      </c>
      <c r="E25" s="250">
        <v>2601901.3722707201</v>
      </c>
      <c r="F25" s="250">
        <v>10091.3006586801</v>
      </c>
      <c r="G25" s="249">
        <v>-0.57278701688980505</v>
      </c>
      <c r="H25" s="249">
        <v>-0.57347809913931802</v>
      </c>
    </row>
    <row r="26" spans="1:8">
      <c r="A26" s="176" t="str">
        <f t="shared" si="0"/>
        <v>HICP CPI XT NR - IM_5Y</v>
      </c>
      <c r="B26" s="249" t="s">
        <v>344</v>
      </c>
      <c r="C26" s="249" t="s">
        <v>66</v>
      </c>
      <c r="D26" s="250">
        <v>51532.339960600701</v>
      </c>
      <c r="E26" s="250">
        <v>839056.628718336</v>
      </c>
      <c r="F26" s="250">
        <v>49893.112914881203</v>
      </c>
      <c r="G26" s="249">
        <v>20.303310252958902</v>
      </c>
      <c r="H26" s="249">
        <v>18.865313320800102</v>
      </c>
    </row>
    <row r="27" spans="1:8">
      <c r="A27" s="176" t="str">
        <f t="shared" si="0"/>
        <v>HICP CPI XT NR - IM_12Y</v>
      </c>
      <c r="B27" s="249" t="s">
        <v>344</v>
      </c>
      <c r="C27" s="249" t="s">
        <v>72</v>
      </c>
      <c r="D27" s="250">
        <v>-13310.7394478808</v>
      </c>
      <c r="E27" s="250">
        <v>-73106.390177540598</v>
      </c>
      <c r="F27" s="250">
        <v>-13133.438525158601</v>
      </c>
      <c r="G27" s="249">
        <v>-17.827895990337598</v>
      </c>
      <c r="H27" s="249">
        <v>-21.503727593869598</v>
      </c>
    </row>
    <row r="28" spans="1:8">
      <c r="A28" s="176" t="str">
        <f t="shared" si="0"/>
        <v>HICP CPI XT NR - IM_15Y</v>
      </c>
      <c r="B28" s="249" t="s">
        <v>344</v>
      </c>
      <c r="C28" s="249" t="s">
        <v>73</v>
      </c>
      <c r="D28" s="250">
        <v>-132997.890422864</v>
      </c>
      <c r="E28" s="250">
        <v>-577718.790671297</v>
      </c>
      <c r="F28" s="250">
        <v>-131579.42963499701</v>
      </c>
      <c r="G28" s="249">
        <v>-178.14087333383199</v>
      </c>
      <c r="H28" s="249">
        <v>-169.93189610765299</v>
      </c>
    </row>
    <row r="29" spans="1:8">
      <c r="A29" s="176" t="str">
        <f t="shared" si="0"/>
        <v>HICP CPI XT NR - IM_20Y</v>
      </c>
      <c r="B29" s="249" t="s">
        <v>344</v>
      </c>
      <c r="C29" s="249" t="s">
        <v>74</v>
      </c>
      <c r="D29" s="250">
        <v>116507.22548013</v>
      </c>
      <c r="E29" s="250">
        <v>308433.01041515998</v>
      </c>
      <c r="F29" s="250">
        <v>115574.61083506</v>
      </c>
      <c r="G29" s="249">
        <v>254.69271340427599</v>
      </c>
      <c r="H29" s="249">
        <v>292.78080596551501</v>
      </c>
    </row>
    <row r="30" spans="1:8">
      <c r="A30" s="176" t="str">
        <f t="shared" si="0"/>
        <v>HICP CPI XT NR - IM_25Y</v>
      </c>
      <c r="B30" s="249" t="s">
        <v>344</v>
      </c>
      <c r="C30" s="249" t="s">
        <v>75</v>
      </c>
      <c r="D30" s="250">
        <v>577034.30452246801</v>
      </c>
      <c r="E30" s="250">
        <v>1197501.4063466301</v>
      </c>
      <c r="F30" s="250">
        <v>573336.55124712898</v>
      </c>
      <c r="G30" s="250">
        <v>1308.7299270764099</v>
      </c>
      <c r="H30" s="250">
        <v>1247.6994026841101</v>
      </c>
    </row>
    <row r="31" spans="1:8">
      <c r="A31" s="176" t="str">
        <f t="shared" si="0"/>
        <v>US CPI AI NSA - IM_1Y</v>
      </c>
      <c r="B31" s="249" t="s">
        <v>345</v>
      </c>
      <c r="C31" s="249" t="s">
        <v>91</v>
      </c>
      <c r="D31" s="250">
        <v>152910.54635998901</v>
      </c>
      <c r="E31" s="250">
        <v>12150351.301181501</v>
      </c>
      <c r="F31" s="250">
        <v>139077.629949945</v>
      </c>
      <c r="G31" s="249">
        <v>-6.5964171409542001</v>
      </c>
      <c r="H31" s="249">
        <v>-6.5380840397875497</v>
      </c>
    </row>
    <row r="32" spans="1:8">
      <c r="A32" s="176" t="str">
        <f t="shared" si="0"/>
        <v>US CPI AI NSA - IM_2Y</v>
      </c>
      <c r="B32" s="249" t="s">
        <v>345</v>
      </c>
      <c r="C32" s="249" t="s">
        <v>35</v>
      </c>
      <c r="D32" s="250">
        <v>58091.024916205999</v>
      </c>
      <c r="E32" s="250">
        <v>1224606.48109548</v>
      </c>
      <c r="F32" s="250">
        <v>55655.174688185201</v>
      </c>
      <c r="G32" s="249">
        <v>6.2849025925931201</v>
      </c>
      <c r="H32" s="249">
        <v>6.1410404250088</v>
      </c>
    </row>
    <row r="33" spans="1:8">
      <c r="A33" s="176" t="str">
        <f t="shared" si="0"/>
        <v>US CPI AI NSA - IM_3Y</v>
      </c>
      <c r="B33" s="249" t="s">
        <v>345</v>
      </c>
      <c r="C33" s="249" t="s">
        <v>36</v>
      </c>
      <c r="D33" s="250">
        <v>85006.827516545702</v>
      </c>
      <c r="E33" s="250">
        <v>1164903.8012679201</v>
      </c>
      <c r="F33" s="250">
        <v>81989.4969777511</v>
      </c>
      <c r="G33" s="249">
        <v>15.082706695300899</v>
      </c>
      <c r="H33" s="249">
        <v>13.0962383936845</v>
      </c>
    </row>
    <row r="34" spans="1:8">
      <c r="A34" s="176" t="str">
        <f t="shared" si="0"/>
        <v>US CPI AI NSA - IM_4Y</v>
      </c>
      <c r="B34" s="249" t="s">
        <v>345</v>
      </c>
      <c r="C34" s="249" t="s">
        <v>65</v>
      </c>
      <c r="D34" s="249">
        <v>5.5821563768967199E-5</v>
      </c>
      <c r="E34" s="249"/>
      <c r="F34" s="249"/>
      <c r="G34" s="249">
        <v>3.9729321068050003E-8</v>
      </c>
      <c r="H34" s="249"/>
    </row>
    <row r="35" spans="1:8">
      <c r="A35" s="176" t="str">
        <f t="shared" si="0"/>
        <v>US CPI AI NSA - IM_5Y</v>
      </c>
      <c r="B35" s="249" t="s">
        <v>345</v>
      </c>
      <c r="C35" s="249" t="s">
        <v>66</v>
      </c>
      <c r="D35" s="249">
        <v>-9.3536480051763897E-3</v>
      </c>
      <c r="E35" s="249"/>
      <c r="F35" s="249"/>
      <c r="G35" s="249">
        <v>-6.7220798018002203E-6</v>
      </c>
      <c r="H35" s="249"/>
    </row>
    <row r="36" spans="1:8">
      <c r="A36" s="176" t="str">
        <f t="shared" si="0"/>
        <v>US CPI AI NSA - IM_6Y</v>
      </c>
      <c r="B36" s="249" t="s">
        <v>345</v>
      </c>
      <c r="C36" s="249" t="s">
        <v>67</v>
      </c>
      <c r="D36" s="249">
        <v>1.50512854573173</v>
      </c>
      <c r="E36" s="249"/>
      <c r="F36" s="249"/>
      <c r="G36" s="249">
        <v>1.09167642757238E-3</v>
      </c>
      <c r="H36" s="249"/>
    </row>
    <row r="37" spans="1:8">
      <c r="A37" s="176" t="str">
        <f t="shared" si="0"/>
        <v>US CPI AI NSA - IM_7Y</v>
      </c>
      <c r="B37" s="249" t="s">
        <v>345</v>
      </c>
      <c r="C37" s="249" t="s">
        <v>68</v>
      </c>
      <c r="D37" s="249">
        <v>-228.02421913785301</v>
      </c>
      <c r="E37" s="249"/>
      <c r="F37" s="249"/>
      <c r="G37" s="249">
        <v>-0.16696055451740299</v>
      </c>
      <c r="H37" s="249"/>
    </row>
    <row r="38" spans="1:8">
      <c r="A38" s="176" t="str">
        <f t="shared" si="0"/>
        <v>US CPI AI NSA - IM_8Y</v>
      </c>
      <c r="B38" s="249" t="s">
        <v>345</v>
      </c>
      <c r="C38" s="249" t="s">
        <v>69</v>
      </c>
      <c r="D38" s="250">
        <v>34946.344101433802</v>
      </c>
      <c r="E38" s="250">
        <v>157474.707126661</v>
      </c>
      <c r="F38" s="250">
        <v>35315.274267593297</v>
      </c>
      <c r="G38" s="249">
        <v>25.8240243227986</v>
      </c>
      <c r="H38" s="249">
        <v>27.669693905253201</v>
      </c>
    </row>
    <row r="39" spans="1:8">
      <c r="A39" s="176" t="str">
        <f t="shared" si="0"/>
        <v>US CPI AI NSA - IM_9Y</v>
      </c>
      <c r="B39" s="249" t="s">
        <v>345</v>
      </c>
      <c r="C39" s="249" t="s">
        <v>70</v>
      </c>
      <c r="D39" s="250">
        <v>152798.001081389</v>
      </c>
      <c r="E39" s="250">
        <v>592634.85951169999</v>
      </c>
      <c r="F39" s="250">
        <v>151415.19044849399</v>
      </c>
      <c r="G39" s="249">
        <v>116.74327385024</v>
      </c>
      <c r="H39" s="249">
        <v>112.609847062265</v>
      </c>
    </row>
    <row r="40" spans="1:8">
      <c r="A40" s="176" t="str">
        <f t="shared" si="0"/>
        <v>US CPI AI NSA - IM_10Y</v>
      </c>
      <c r="B40" s="249" t="s">
        <v>345</v>
      </c>
      <c r="C40" s="249" t="s">
        <v>71</v>
      </c>
      <c r="D40" s="250">
        <v>177978.09860175499</v>
      </c>
      <c r="E40" s="250">
        <v>588010.73421839101</v>
      </c>
      <c r="F40" s="250">
        <v>175653.981036424</v>
      </c>
      <c r="G40" s="249">
        <v>164.35055101426099</v>
      </c>
      <c r="H40" s="249">
        <v>168.98793787495401</v>
      </c>
    </row>
    <row r="41" spans="1:8">
      <c r="A41" s="176" t="str">
        <f t="shared" si="0"/>
        <v>US CPI AI NSA - IM_12Y</v>
      </c>
      <c r="B41" s="249" t="s">
        <v>345</v>
      </c>
      <c r="C41" s="249" t="s">
        <v>72</v>
      </c>
      <c r="D41" s="250">
        <v>160056.463136812</v>
      </c>
      <c r="E41" s="250">
        <v>432595.25706419197</v>
      </c>
      <c r="F41" s="250">
        <v>158648.37455797201</v>
      </c>
      <c r="G41" s="249">
        <v>161.39367246056401</v>
      </c>
      <c r="H41" s="249">
        <v>150.09390343121001</v>
      </c>
    </row>
    <row r="42" spans="1:8">
      <c r="A42" s="176" t="str">
        <f t="shared" si="0"/>
        <v>US CPI AI NSA - IM_15Y</v>
      </c>
      <c r="B42" s="249" t="s">
        <v>345</v>
      </c>
      <c r="C42" s="249" t="s">
        <v>73</v>
      </c>
      <c r="D42" s="250">
        <v>152061.86697842999</v>
      </c>
      <c r="E42" s="250">
        <v>291307.81862236501</v>
      </c>
      <c r="F42" s="250">
        <v>150816.25775564701</v>
      </c>
      <c r="G42" s="249">
        <v>207.06251814072399</v>
      </c>
      <c r="H42" s="249">
        <v>203.811175195256</v>
      </c>
    </row>
    <row r="43" spans="1:8">
      <c r="A43" s="176" t="str">
        <f t="shared" si="0"/>
        <v>_</v>
      </c>
      <c r="D43" s="180"/>
      <c r="E43" s="180"/>
      <c r="F43" s="180"/>
    </row>
    <row r="44" spans="1:8">
      <c r="A44" s="176" t="str">
        <f t="shared" si="0"/>
        <v>_</v>
      </c>
      <c r="D44" s="180"/>
      <c r="E44" s="180"/>
      <c r="F44" s="180"/>
    </row>
    <row r="45" spans="1:8">
      <c r="A45" s="176" t="str">
        <f t="shared" si="0"/>
        <v>_</v>
      </c>
      <c r="D45" s="180"/>
      <c r="E45" s="180"/>
      <c r="F45" s="180"/>
    </row>
    <row r="46" spans="1:8">
      <c r="A46" s="176" t="str">
        <f t="shared" si="0"/>
        <v>_</v>
      </c>
      <c r="D46" s="180"/>
      <c r="E46" s="180"/>
      <c r="F46" s="180"/>
    </row>
    <row r="47" spans="1:8">
      <c r="A47" s="176" t="str">
        <f t="shared" si="0"/>
        <v>_</v>
      </c>
      <c r="D47" s="180"/>
      <c r="E47" s="180"/>
      <c r="F47" s="180"/>
    </row>
    <row r="48" spans="1:8">
      <c r="A48" s="176" t="str">
        <f t="shared" si="0"/>
        <v>_</v>
      </c>
      <c r="D48" s="180"/>
      <c r="E48" s="180"/>
      <c r="F48" s="180"/>
      <c r="G48" s="180"/>
      <c r="H48" s="180"/>
    </row>
    <row r="49" spans="1:8">
      <c r="A49" s="176" t="str">
        <f t="shared" si="0"/>
        <v>_</v>
      </c>
      <c r="D49" s="180"/>
      <c r="E49" s="180"/>
    </row>
    <row r="50" spans="1:8">
      <c r="A50" s="176" t="str">
        <f t="shared" si="0"/>
        <v>_</v>
      </c>
      <c r="D50" s="180"/>
      <c r="E50" s="180"/>
      <c r="F50" s="180"/>
    </row>
    <row r="51" spans="1:8">
      <c r="A51" s="176" t="str">
        <f t="shared" si="0"/>
        <v>_</v>
      </c>
      <c r="D51" s="180"/>
      <c r="E51" s="180"/>
      <c r="F51" s="180"/>
    </row>
    <row r="52" spans="1:8">
      <c r="A52" s="176" t="str">
        <f t="shared" si="0"/>
        <v>_</v>
      </c>
      <c r="D52" s="180"/>
      <c r="E52" s="180"/>
      <c r="F52" s="180"/>
    </row>
    <row r="53" spans="1:8">
      <c r="A53" s="176" t="str">
        <f t="shared" si="0"/>
        <v>_</v>
      </c>
      <c r="D53" s="180"/>
      <c r="E53" s="180"/>
      <c r="F53" s="180"/>
    </row>
    <row r="54" spans="1:8">
      <c r="A54" s="176" t="str">
        <f t="shared" si="0"/>
        <v>_</v>
      </c>
      <c r="D54" s="180"/>
      <c r="E54" s="180"/>
      <c r="F54" s="180"/>
    </row>
    <row r="55" spans="1:8">
      <c r="A55" s="176" t="str">
        <f t="shared" si="0"/>
        <v>_</v>
      </c>
      <c r="D55" s="180"/>
      <c r="E55" s="180"/>
      <c r="F55" s="180"/>
    </row>
    <row r="56" spans="1:8">
      <c r="A56" s="176" t="str">
        <f t="shared" si="0"/>
        <v>_</v>
      </c>
      <c r="D56" s="180"/>
      <c r="E56" s="180"/>
      <c r="F56" s="180"/>
      <c r="G56" s="180"/>
      <c r="H56" s="180"/>
    </row>
    <row r="57" spans="1:8">
      <c r="A57" s="176" t="str">
        <f t="shared" si="0"/>
        <v>_</v>
      </c>
      <c r="D57" s="180"/>
      <c r="E57" s="180"/>
    </row>
    <row r="58" spans="1:8">
      <c r="A58" s="176" t="str">
        <f t="shared" si="0"/>
        <v>_</v>
      </c>
    </row>
    <row r="59" spans="1:8">
      <c r="A59" s="176" t="str">
        <f t="shared" si="0"/>
        <v>_</v>
      </c>
    </row>
    <row r="60" spans="1:8">
      <c r="A60" s="176" t="str">
        <f t="shared" si="0"/>
        <v>_</v>
      </c>
    </row>
    <row r="61" spans="1:8">
      <c r="A61" s="176" t="str">
        <f t="shared" si="0"/>
        <v>_</v>
      </c>
      <c r="D61" s="180"/>
    </row>
    <row r="62" spans="1:8">
      <c r="A62" s="176" t="str">
        <f t="shared" si="0"/>
        <v>_</v>
      </c>
      <c r="D62" s="180"/>
      <c r="E62" s="180"/>
      <c r="F62" s="180"/>
    </row>
    <row r="63" spans="1:8">
      <c r="A63" s="176" t="str">
        <f t="shared" si="0"/>
        <v>_</v>
      </c>
      <c r="D63" s="180"/>
      <c r="E63" s="180"/>
      <c r="F63" s="180"/>
    </row>
    <row r="64" spans="1:8">
      <c r="A64" s="176" t="str">
        <f t="shared" si="0"/>
        <v>_</v>
      </c>
      <c r="D64" s="180"/>
      <c r="E64" s="180"/>
      <c r="F64" s="180"/>
    </row>
    <row r="65" spans="1:6">
      <c r="A65" s="176" t="str">
        <f t="shared" si="0"/>
        <v>_</v>
      </c>
      <c r="D65" s="180"/>
      <c r="E65" s="180"/>
      <c r="F65" s="180"/>
    </row>
    <row r="66" spans="1:6">
      <c r="A66" s="176" t="str">
        <f t="shared" si="0"/>
        <v>_</v>
      </c>
      <c r="D66" s="180"/>
      <c r="E66" s="180"/>
      <c r="F66" s="180"/>
    </row>
    <row r="67" spans="1:6">
      <c r="A67" s="176" t="str">
        <f t="shared" ref="A67:A89" si="1">B67&amp;"_"&amp;C67</f>
        <v>_</v>
      </c>
      <c r="D67" s="180"/>
      <c r="E67" s="180"/>
      <c r="F67" s="180"/>
    </row>
    <row r="68" spans="1:6">
      <c r="A68" s="176" t="str">
        <f t="shared" si="1"/>
        <v>_</v>
      </c>
    </row>
    <row r="69" spans="1:6">
      <c r="A69" s="176" t="str">
        <f t="shared" si="1"/>
        <v>_</v>
      </c>
    </row>
    <row r="70" spans="1:6">
      <c r="A70" s="176" t="str">
        <f t="shared" si="1"/>
        <v>_</v>
      </c>
    </row>
    <row r="71" spans="1:6">
      <c r="A71" s="176" t="str">
        <f t="shared" si="1"/>
        <v>_</v>
      </c>
    </row>
    <row r="72" spans="1:6">
      <c r="A72" s="176" t="str">
        <f t="shared" si="1"/>
        <v>_</v>
      </c>
    </row>
    <row r="73" spans="1:6">
      <c r="A73" s="176" t="str">
        <f t="shared" si="1"/>
        <v>_</v>
      </c>
      <c r="E73" s="180"/>
      <c r="F73" s="180"/>
    </row>
    <row r="74" spans="1:6">
      <c r="A74" s="176" t="str">
        <f t="shared" si="1"/>
        <v>_</v>
      </c>
      <c r="D74" s="180"/>
      <c r="E74" s="180"/>
      <c r="F74" s="180"/>
    </row>
    <row r="75" spans="1:6">
      <c r="A75" s="176" t="str">
        <f t="shared" si="1"/>
        <v>_</v>
      </c>
    </row>
    <row r="76" spans="1:6">
      <c r="A76" s="176" t="str">
        <f t="shared" si="1"/>
        <v>_</v>
      </c>
    </row>
    <row r="77" spans="1:6">
      <c r="A77" s="176" t="str">
        <f t="shared" si="1"/>
        <v>_</v>
      </c>
    </row>
    <row r="78" spans="1:6">
      <c r="A78" s="176" t="str">
        <f t="shared" si="1"/>
        <v>_</v>
      </c>
      <c r="D78" s="180"/>
    </row>
    <row r="79" spans="1:6">
      <c r="A79" s="176" t="str">
        <f t="shared" si="1"/>
        <v>_</v>
      </c>
      <c r="D79" s="180"/>
      <c r="E79" s="180"/>
      <c r="F79" s="180"/>
    </row>
    <row r="80" spans="1:6">
      <c r="A80" s="176" t="str">
        <f t="shared" si="1"/>
        <v>_</v>
      </c>
      <c r="D80" s="180"/>
      <c r="E80" s="180"/>
      <c r="F80" s="180"/>
    </row>
    <row r="81" spans="1:6">
      <c r="A81" s="176" t="str">
        <f t="shared" si="1"/>
        <v>_</v>
      </c>
    </row>
    <row r="82" spans="1:6">
      <c r="A82" s="176" t="str">
        <f t="shared" si="1"/>
        <v>_</v>
      </c>
    </row>
    <row r="83" spans="1:6">
      <c r="A83" s="176" t="str">
        <f t="shared" si="1"/>
        <v>_</v>
      </c>
    </row>
    <row r="84" spans="1:6">
      <c r="A84" s="176" t="str">
        <f t="shared" si="1"/>
        <v>_</v>
      </c>
    </row>
    <row r="85" spans="1:6">
      <c r="A85" s="176" t="str">
        <f t="shared" si="1"/>
        <v>_</v>
      </c>
      <c r="D85" s="180"/>
      <c r="E85" s="180"/>
      <c r="F85" s="180"/>
    </row>
    <row r="86" spans="1:6">
      <c r="A86" s="176" t="str">
        <f t="shared" si="1"/>
        <v>_</v>
      </c>
      <c r="D86" s="180"/>
      <c r="E86" s="180"/>
      <c r="F86" s="180"/>
    </row>
    <row r="87" spans="1:6">
      <c r="A87" s="176" t="str">
        <f t="shared" si="1"/>
        <v>_</v>
      </c>
      <c r="D87" s="180"/>
      <c r="E87" s="180"/>
      <c r="F87" s="180"/>
    </row>
    <row r="88" spans="1:6">
      <c r="A88" s="176" t="str">
        <f t="shared" si="1"/>
        <v>_</v>
      </c>
      <c r="D88" s="180"/>
      <c r="E88" s="180"/>
      <c r="F88" s="180"/>
    </row>
    <row r="89" spans="1:6">
      <c r="A89" s="176" t="str">
        <f t="shared" si="1"/>
        <v>_</v>
      </c>
      <c r="D89" s="180"/>
      <c r="E89" s="180"/>
      <c r="F89" s="18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E65"/>
  <sheetViews>
    <sheetView topLeftCell="A34" workbookViewId="0">
      <selection activeCell="B46" sqref="B46"/>
    </sheetView>
  </sheetViews>
  <sheetFormatPr defaultColWidth="9.28515625" defaultRowHeight="15"/>
  <cols>
    <col min="1" max="1" width="23.5703125" customWidth="1"/>
    <col min="2" max="2" width="13.42578125" bestFit="1" customWidth="1"/>
    <col min="3" max="5" width="12.7109375" bestFit="1" customWidth="1"/>
  </cols>
  <sheetData>
    <row r="1" spans="1:5">
      <c r="A1" s="178" t="s">
        <v>268</v>
      </c>
      <c r="B1" s="178" t="s">
        <v>332</v>
      </c>
      <c r="C1" t="s">
        <v>0</v>
      </c>
      <c r="D1" t="s">
        <v>333</v>
      </c>
      <c r="E1" t="s">
        <v>334</v>
      </c>
    </row>
    <row r="2" spans="1:5">
      <c r="A2" t="str">
        <f>B2&amp;"_"&amp;C2</f>
        <v>EUR ZERO EONIA_1D</v>
      </c>
      <c r="B2" t="s">
        <v>384</v>
      </c>
      <c r="C2" s="179" t="s">
        <v>347</v>
      </c>
      <c r="D2">
        <v>9.0720478145674202E-2</v>
      </c>
      <c r="E2">
        <v>-2.4854920899209999E-8</v>
      </c>
    </row>
    <row r="3" spans="1:5">
      <c r="A3" s="178" t="str">
        <f t="shared" ref="A3:A65" si="0">B3&amp;"_"&amp;C3</f>
        <v>EUR ZERO EONIA_60D</v>
      </c>
      <c r="B3" t="s">
        <v>384</v>
      </c>
      <c r="C3" s="179" t="s">
        <v>352</v>
      </c>
      <c r="D3">
        <v>6.0457034409533996</v>
      </c>
      <c r="E3">
        <v>-1.04350489765759E-4</v>
      </c>
    </row>
    <row r="4" spans="1:5">
      <c r="A4" s="178" t="str">
        <f t="shared" si="0"/>
        <v>EUR ZERO EONIA_91D</v>
      </c>
      <c r="B4" t="s">
        <v>384</v>
      </c>
      <c r="C4" s="179" t="s">
        <v>353</v>
      </c>
      <c r="D4">
        <v>1.5421104470462801</v>
      </c>
      <c r="E4">
        <v>-3.3723092429660499E-5</v>
      </c>
    </row>
    <row r="5" spans="1:5">
      <c r="A5" s="178" t="str">
        <f t="shared" si="0"/>
        <v>EUR ZERO EONIA_121D</v>
      </c>
      <c r="B5" t="s">
        <v>384</v>
      </c>
      <c r="C5" s="179" t="s">
        <v>354</v>
      </c>
      <c r="D5">
        <v>6.5948092952752697</v>
      </c>
      <c r="E5">
        <v>-2.27369124244925E-4</v>
      </c>
    </row>
    <row r="6" spans="1:5">
      <c r="A6" s="178" t="str">
        <f t="shared" si="0"/>
        <v>EUR ZERO EONIA_152D</v>
      </c>
      <c r="B6" t="s">
        <v>384</v>
      </c>
      <c r="C6" s="179" t="s">
        <v>355</v>
      </c>
      <c r="D6" s="180">
        <v>1.2623018107164401</v>
      </c>
      <c r="E6">
        <v>-4.3575346830859702E-5</v>
      </c>
    </row>
    <row r="7" spans="1:5">
      <c r="A7" s="178" t="str">
        <f t="shared" si="0"/>
        <v>EUR ZERO EONIA_243D</v>
      </c>
      <c r="B7" t="s">
        <v>384</v>
      </c>
      <c r="C7" s="179" t="s">
        <v>358</v>
      </c>
      <c r="D7">
        <v>-42.0772358923629</v>
      </c>
      <c r="E7">
        <v>2.8474176430037801E-3</v>
      </c>
    </row>
    <row r="8" spans="1:5">
      <c r="A8" s="178" t="str">
        <f t="shared" si="0"/>
        <v>EUR ZERO EONIA_273D</v>
      </c>
      <c r="B8" t="s">
        <v>384</v>
      </c>
      <c r="C8" s="179" t="s">
        <v>359</v>
      </c>
      <c r="D8">
        <v>-6.4734209065173598</v>
      </c>
      <c r="E8">
        <v>4.3806430802817398E-4</v>
      </c>
    </row>
    <row r="9" spans="1:5">
      <c r="A9" s="178" t="str">
        <f t="shared" si="0"/>
        <v>EUR ZERO EONIA_365D</v>
      </c>
      <c r="B9" t="s">
        <v>384</v>
      </c>
      <c r="C9" s="179" t="s">
        <v>362</v>
      </c>
      <c r="D9" s="180">
        <v>207.902184583241</v>
      </c>
      <c r="E9">
        <v>-2.0904127290388701E-2</v>
      </c>
    </row>
    <row r="10" spans="1:5">
      <c r="A10" s="178" t="str">
        <f t="shared" si="0"/>
        <v>EUR ZERO EONIA_456D</v>
      </c>
      <c r="B10" t="s">
        <v>384</v>
      </c>
      <c r="C10" s="179" t="s">
        <v>363</v>
      </c>
      <c r="D10" s="180">
        <v>4.6719592041177798</v>
      </c>
      <c r="E10">
        <v>-4.6975577909780198E-4</v>
      </c>
    </row>
    <row r="11" spans="1:5">
      <c r="A11" s="178" t="str">
        <f t="shared" si="0"/>
        <v>EUR ZERO EONIA_638D</v>
      </c>
      <c r="B11" t="s">
        <v>384</v>
      </c>
      <c r="C11" s="179" t="s">
        <v>365</v>
      </c>
      <c r="D11" s="180">
        <v>3.3687037791347598</v>
      </c>
      <c r="E11">
        <v>-5.91599257138142E-4</v>
      </c>
    </row>
    <row r="12" spans="1:5">
      <c r="A12" s="178" t="str">
        <f t="shared" si="0"/>
        <v>EUR ZERO EONIA_730D</v>
      </c>
      <c r="B12" t="s">
        <v>384</v>
      </c>
      <c r="C12" s="179" t="s">
        <v>366</v>
      </c>
      <c r="D12" s="180">
        <v>-6447.9889461292296</v>
      </c>
      <c r="E12">
        <v>1.80769568147943</v>
      </c>
    </row>
    <row r="13" spans="1:5">
      <c r="A13" s="178" t="str">
        <f t="shared" si="0"/>
        <v>EUR ZERO EONIA_1095D</v>
      </c>
      <c r="B13" t="s">
        <v>384</v>
      </c>
      <c r="C13" s="179" t="s">
        <v>367</v>
      </c>
      <c r="D13" s="180">
        <v>-26798.024015047002</v>
      </c>
      <c r="E13">
        <v>7.5213030659774898</v>
      </c>
    </row>
    <row r="14" spans="1:5">
      <c r="A14" s="178" t="str">
        <f t="shared" si="0"/>
        <v>EUR ZERO EONIA_1825D</v>
      </c>
      <c r="B14" t="s">
        <v>384</v>
      </c>
      <c r="C14" s="179" t="s">
        <v>369</v>
      </c>
      <c r="D14" s="180">
        <v>1.045918907E-11</v>
      </c>
      <c r="E14">
        <v>0</v>
      </c>
    </row>
    <row r="15" spans="1:5">
      <c r="A15" s="178" t="str">
        <f t="shared" si="0"/>
        <v>EUR ZERO EONIA_2190D</v>
      </c>
      <c r="B15" t="s">
        <v>384</v>
      </c>
      <c r="C15" s="179" t="s">
        <v>370</v>
      </c>
      <c r="D15" s="180">
        <v>8.5265130000000005E-14</v>
      </c>
      <c r="E15">
        <v>0</v>
      </c>
    </row>
    <row r="16" spans="1:5">
      <c r="A16" s="178" t="str">
        <f t="shared" si="0"/>
        <v>EUR ZERO EONIA_3650D</v>
      </c>
      <c r="B16" t="s">
        <v>384</v>
      </c>
      <c r="C16" s="179" t="s">
        <v>374</v>
      </c>
      <c r="D16" s="180">
        <v>-976.36512215282403</v>
      </c>
      <c r="E16">
        <v>1.13284814656254</v>
      </c>
    </row>
    <row r="17" spans="1:5">
      <c r="A17" s="178" t="str">
        <f t="shared" si="0"/>
        <v>EUR ZERO EONIA_4380D</v>
      </c>
      <c r="B17" t="s">
        <v>384</v>
      </c>
      <c r="C17" s="179" t="s">
        <v>375</v>
      </c>
      <c r="D17" s="180">
        <v>-3939.12825144416</v>
      </c>
      <c r="E17">
        <v>4.5704483242388996</v>
      </c>
    </row>
    <row r="18" spans="1:5">
      <c r="A18" s="178" t="str">
        <f t="shared" si="0"/>
        <v>EUR ZERO EONIA_5475D</v>
      </c>
      <c r="B18" t="s">
        <v>384</v>
      </c>
      <c r="C18" s="179" t="s">
        <v>376</v>
      </c>
      <c r="D18" s="180">
        <v>-57735.725294350799</v>
      </c>
      <c r="E18">
        <v>86.697848237793096</v>
      </c>
    </row>
    <row r="19" spans="1:5">
      <c r="A19" s="178" t="str">
        <f t="shared" si="0"/>
        <v>EUR ZERO EONIA_7300D</v>
      </c>
      <c r="B19" t="s">
        <v>384</v>
      </c>
      <c r="C19" s="179" t="s">
        <v>377</v>
      </c>
      <c r="D19" s="257">
        <v>-26651.226394132402</v>
      </c>
      <c r="E19">
        <v>62.463100917345798</v>
      </c>
    </row>
    <row r="20" spans="1:5">
      <c r="A20" s="178" t="str">
        <f t="shared" si="0"/>
        <v>EUR ZERO EONIA_9125D</v>
      </c>
      <c r="B20" t="s">
        <v>384</v>
      </c>
      <c r="C20" s="179" t="s">
        <v>378</v>
      </c>
      <c r="D20" s="257">
        <v>-144712.21485285199</v>
      </c>
      <c r="E20">
        <v>373.83973195312097</v>
      </c>
    </row>
    <row r="21" spans="1:5">
      <c r="A21" s="178" t="str">
        <f t="shared" si="0"/>
        <v>EUR ZERO EONIA_10950D</v>
      </c>
      <c r="B21" t="s">
        <v>384</v>
      </c>
      <c r="C21" s="179" t="s">
        <v>379</v>
      </c>
      <c r="D21" s="257">
        <v>-108598.78461598</v>
      </c>
      <c r="E21">
        <v>302.86491205397402</v>
      </c>
    </row>
    <row r="22" spans="1:5">
      <c r="A22" s="178" t="str">
        <f t="shared" si="0"/>
        <v>EUR ZERO EONIA_12775D</v>
      </c>
      <c r="B22" t="s">
        <v>384</v>
      </c>
      <c r="C22" s="179" t="s">
        <v>380</v>
      </c>
      <c r="D22" s="257">
        <v>3421.2430722598001</v>
      </c>
      <c r="E22">
        <v>-10.3601993751909</v>
      </c>
    </row>
    <row r="23" spans="1:5">
      <c r="A23" s="178" t="str">
        <f t="shared" si="0"/>
        <v>GBP ZERO SONIA_1D</v>
      </c>
      <c r="B23" t="s">
        <v>385</v>
      </c>
      <c r="C23" s="179" t="s">
        <v>347</v>
      </c>
      <c r="D23">
        <v>-0.65224750994517799</v>
      </c>
      <c r="E23">
        <v>1.7869794532999E-7</v>
      </c>
    </row>
    <row r="24" spans="1:5">
      <c r="A24" s="178" t="str">
        <f t="shared" si="0"/>
        <v>GBP ZERO SONIA_60D</v>
      </c>
      <c r="B24" t="s">
        <v>385</v>
      </c>
      <c r="C24" s="179" t="s">
        <v>352</v>
      </c>
      <c r="D24">
        <v>-25.2017245491712</v>
      </c>
      <c r="E24">
        <v>4.3498863744329002E-4</v>
      </c>
    </row>
    <row r="25" spans="1:5">
      <c r="A25" s="178" t="str">
        <f t="shared" si="0"/>
        <v>GBP ZERO SONIA_91D</v>
      </c>
      <c r="B25" t="s">
        <v>385</v>
      </c>
      <c r="C25" s="179" t="s">
        <v>353</v>
      </c>
      <c r="D25" s="180">
        <v>-2.70018477312549</v>
      </c>
      <c r="E25">
        <v>4.6605926962150998E-5</v>
      </c>
    </row>
    <row r="26" spans="1:5">
      <c r="A26" s="178" t="str">
        <f t="shared" si="0"/>
        <v>GBP ZERO SONIA_182D</v>
      </c>
      <c r="B26" t="s">
        <v>385</v>
      </c>
      <c r="C26" s="179" t="s">
        <v>356</v>
      </c>
      <c r="D26" s="180">
        <v>-85.293047075653902</v>
      </c>
      <c r="E26">
        <v>4.3230713134354698E-3</v>
      </c>
    </row>
    <row r="27" spans="1:5">
      <c r="A27" s="178" t="str">
        <f t="shared" si="0"/>
        <v>GBP ZERO SONIA_212D</v>
      </c>
      <c r="B27" t="s">
        <v>385</v>
      </c>
      <c r="C27" s="179" t="s">
        <v>357</v>
      </c>
      <c r="D27" s="180">
        <v>-9.47700523062821</v>
      </c>
      <c r="E27">
        <v>4.8034130826667397E-4</v>
      </c>
    </row>
    <row r="28" spans="1:5">
      <c r="A28" s="178" t="str">
        <f t="shared" si="0"/>
        <v>GBP ZERO SONIA_273D</v>
      </c>
      <c r="B28" t="s">
        <v>385</v>
      </c>
      <c r="C28" s="179" t="s">
        <v>359</v>
      </c>
      <c r="D28" s="180">
        <v>68.042620873004907</v>
      </c>
      <c r="E28">
        <v>-5.1451389677215102E-3</v>
      </c>
    </row>
    <row r="29" spans="1:5">
      <c r="A29" s="178" t="str">
        <f t="shared" si="0"/>
        <v>GBP ZERO SONIA_304D</v>
      </c>
      <c r="B29" t="s">
        <v>385</v>
      </c>
      <c r="C29" s="179" t="s">
        <v>360</v>
      </c>
      <c r="D29" s="180">
        <v>7.2902808078219596</v>
      </c>
      <c r="E29">
        <v>-5.5126497477964197E-4</v>
      </c>
    </row>
    <row r="30" spans="1:5">
      <c r="A30" s="178" t="str">
        <f t="shared" si="0"/>
        <v>GBP ZERO SONIA_730D</v>
      </c>
      <c r="B30" t="s">
        <v>385</v>
      </c>
      <c r="C30" s="179" t="s">
        <v>366</v>
      </c>
      <c r="D30">
        <v>0</v>
      </c>
      <c r="E30">
        <v>0</v>
      </c>
    </row>
    <row r="31" spans="1:5">
      <c r="A31" s="178" t="str">
        <f t="shared" si="0"/>
        <v>GBP ZERO SONIA_1095D</v>
      </c>
      <c r="B31" t="s">
        <v>385</v>
      </c>
      <c r="C31" s="179" t="s">
        <v>367</v>
      </c>
      <c r="D31">
        <v>0</v>
      </c>
      <c r="E31">
        <v>0</v>
      </c>
    </row>
    <row r="32" spans="1:5">
      <c r="A32" s="178" t="str">
        <f t="shared" si="0"/>
        <v>GBP ZERO SONIA_5475D</v>
      </c>
      <c r="B32" t="s">
        <v>385</v>
      </c>
      <c r="C32" s="179" t="s">
        <v>376</v>
      </c>
      <c r="D32" s="257">
        <v>-19126.325366637</v>
      </c>
      <c r="E32">
        <v>32.540799078378797</v>
      </c>
    </row>
    <row r="33" spans="1:5">
      <c r="A33" s="178" t="str">
        <f t="shared" si="0"/>
        <v>GBP ZERO SONIA_7300D</v>
      </c>
      <c r="B33" t="s">
        <v>385</v>
      </c>
      <c r="C33" s="179" t="s">
        <v>377</v>
      </c>
      <c r="D33" s="257">
        <v>-12897.1093068263</v>
      </c>
      <c r="E33">
        <v>21.9426670731991</v>
      </c>
    </row>
    <row r="34" spans="1:5">
      <c r="A34" s="178" t="str">
        <f t="shared" si="0"/>
        <v>GBP ZERO SONIA_9125D</v>
      </c>
      <c r="B34" t="s">
        <v>385</v>
      </c>
      <c r="C34" s="179" t="s">
        <v>378</v>
      </c>
      <c r="D34" s="257">
        <v>-214008.50079541799</v>
      </c>
      <c r="E34">
        <v>535.431679250814</v>
      </c>
    </row>
    <row r="35" spans="1:5">
      <c r="A35" s="178" t="str">
        <f t="shared" si="0"/>
        <v>GBP ZERO SONIA_10950D</v>
      </c>
      <c r="B35" t="s">
        <v>385</v>
      </c>
      <c r="C35" s="179" t="s">
        <v>379</v>
      </c>
      <c r="D35">
        <v>-824.01512945984496</v>
      </c>
      <c r="E35">
        <v>2.0616181269283298</v>
      </c>
    </row>
    <row r="36" spans="1:5">
      <c r="A36" s="178" t="str">
        <f t="shared" si="0"/>
        <v>GBP ZERO SONIA_12775D</v>
      </c>
      <c r="B36" t="s">
        <v>385</v>
      </c>
      <c r="C36" s="179" t="s">
        <v>380</v>
      </c>
      <c r="D36" s="257">
        <v>-184632.191221616</v>
      </c>
      <c r="E36">
        <v>665.17293499528</v>
      </c>
    </row>
    <row r="37" spans="1:5">
      <c r="A37" s="178" t="str">
        <f t="shared" si="0"/>
        <v>GBP ZERO SONIA_14600D</v>
      </c>
      <c r="B37" t="s">
        <v>385</v>
      </c>
      <c r="C37" s="179" t="s">
        <v>381</v>
      </c>
      <c r="D37" s="257">
        <v>-47749.704626024002</v>
      </c>
      <c r="E37">
        <v>172.028395864982</v>
      </c>
    </row>
    <row r="38" spans="1:5">
      <c r="A38" s="178" t="str">
        <f t="shared" si="0"/>
        <v>GBP ZERO SONIA_16425D</v>
      </c>
      <c r="B38" t="s">
        <v>385</v>
      </c>
      <c r="C38" s="179" t="s">
        <v>382</v>
      </c>
      <c r="D38">
        <v>1.55193845254E-9</v>
      </c>
    </row>
    <row r="39" spans="1:5">
      <c r="A39" s="178" t="str">
        <f t="shared" si="0"/>
        <v>GBP ZERO SONIA_18250D</v>
      </c>
      <c r="B39" t="s">
        <v>385</v>
      </c>
      <c r="C39" s="179" t="s">
        <v>383</v>
      </c>
      <c r="D39" s="180">
        <v>1.68802216649E-9</v>
      </c>
    </row>
    <row r="40" spans="1:5">
      <c r="A40" s="178" t="str">
        <f t="shared" si="0"/>
        <v>USD ZERO FEDFUNDS_1D</v>
      </c>
      <c r="B40" t="s">
        <v>386</v>
      </c>
      <c r="C40" s="179" t="s">
        <v>347</v>
      </c>
      <c r="D40" s="180">
        <v>4.4245207701833503E-2</v>
      </c>
      <c r="E40">
        <v>-1.2121974712829999E-8</v>
      </c>
    </row>
    <row r="41" spans="1:5">
      <c r="A41" s="178" t="str">
        <f t="shared" si="0"/>
        <v>USD ZERO FEDFUNDS_60D</v>
      </c>
      <c r="B41" t="s">
        <v>386</v>
      </c>
      <c r="C41" s="179" t="s">
        <v>352</v>
      </c>
      <c r="D41" s="180">
        <v>8.4862336441837307</v>
      </c>
      <c r="E41">
        <v>-1.4647470674700199E-4</v>
      </c>
    </row>
    <row r="42" spans="1:5">
      <c r="A42" s="178" t="str">
        <f t="shared" si="0"/>
        <v>USD ZERO FEDFUNDS_91D</v>
      </c>
      <c r="B42" t="s">
        <v>386</v>
      </c>
      <c r="C42" s="179" t="s">
        <v>353</v>
      </c>
      <c r="D42" s="180">
        <v>0.90923931901968602</v>
      </c>
      <c r="E42">
        <v>-1.5693719274123599E-5</v>
      </c>
    </row>
    <row r="43" spans="1:5">
      <c r="A43" s="178" t="str">
        <f t="shared" si="0"/>
        <v>USD ZERO FEDFUNDS_212D</v>
      </c>
      <c r="B43" t="s">
        <v>386</v>
      </c>
      <c r="C43" s="179" t="s">
        <v>357</v>
      </c>
      <c r="D43">
        <v>468.33799640087398</v>
      </c>
      <c r="E43">
        <v>-2.9146778749034E-2</v>
      </c>
    </row>
    <row r="44" spans="1:5">
      <c r="A44" s="255" t="str">
        <f t="shared" si="0"/>
        <v>USD ZERO FEDFUNDS_243D</v>
      </c>
      <c r="B44" t="s">
        <v>386</v>
      </c>
      <c r="C44" t="s">
        <v>358</v>
      </c>
      <c r="D44" s="257">
        <v>1156.7288061644699</v>
      </c>
      <c r="E44">
        <v>-7.5481137386335106E-2</v>
      </c>
    </row>
    <row r="45" spans="1:5">
      <c r="A45" s="255" t="str">
        <f t="shared" si="0"/>
        <v>USD ZERO FEDFUNDS_273D</v>
      </c>
      <c r="B45" t="s">
        <v>386</v>
      </c>
      <c r="C45" t="s">
        <v>359</v>
      </c>
      <c r="D45">
        <v>61.875241862767503</v>
      </c>
      <c r="E45">
        <v>-4.21170289148787E-3</v>
      </c>
    </row>
    <row r="46" spans="1:5">
      <c r="A46" s="255" t="str">
        <f t="shared" si="0"/>
        <v>USD ZERO FEDFUNDS_365D</v>
      </c>
      <c r="B46" t="s">
        <v>386</v>
      </c>
      <c r="C46" t="s">
        <v>362</v>
      </c>
      <c r="D46">
        <v>307.86680931427099</v>
      </c>
      <c r="E46">
        <v>-3.0955360014339701E-2</v>
      </c>
    </row>
    <row r="47" spans="1:5">
      <c r="A47" s="255" t="str">
        <f t="shared" si="0"/>
        <v>USD ZERO FEDFUNDS_456D</v>
      </c>
      <c r="B47" t="s">
        <v>386</v>
      </c>
      <c r="C47" t="s">
        <v>363</v>
      </c>
      <c r="D47">
        <v>6.9183552654892404</v>
      </c>
      <c r="E47">
        <v>-6.9562623330465801E-4</v>
      </c>
    </row>
    <row r="48" spans="1:5">
      <c r="A48" s="255" t="str">
        <f t="shared" si="0"/>
        <v>USD ZERO FEDFUNDS_638D</v>
      </c>
      <c r="B48" t="s">
        <v>386</v>
      </c>
      <c r="C48" t="s">
        <v>365</v>
      </c>
      <c r="D48">
        <v>-255.56668495628099</v>
      </c>
      <c r="E48">
        <v>4.4881673465635402E-2</v>
      </c>
    </row>
    <row r="49" spans="1:5">
      <c r="A49" s="255" t="str">
        <f t="shared" si="0"/>
        <v>USD ZERO FEDFUNDS_730D</v>
      </c>
      <c r="B49" t="s">
        <v>386</v>
      </c>
      <c r="C49" t="s">
        <v>366</v>
      </c>
      <c r="D49">
        <v>-173.38463895316499</v>
      </c>
      <c r="E49">
        <v>5.2684291953486499E-2</v>
      </c>
    </row>
    <row r="50" spans="1:5">
      <c r="A50" s="255" t="str">
        <f t="shared" si="0"/>
        <v>USD ZERO FEDFUNDS_1095D</v>
      </c>
      <c r="B50" t="s">
        <v>386</v>
      </c>
      <c r="C50" t="s">
        <v>367</v>
      </c>
      <c r="D50" s="257">
        <v>-1104.9892324586399</v>
      </c>
      <c r="E50">
        <v>0.31327897537565502</v>
      </c>
    </row>
    <row r="51" spans="1:5">
      <c r="A51" s="255" t="str">
        <f t="shared" si="0"/>
        <v>USD ZERO FEDFUNDS_1460D</v>
      </c>
      <c r="B51" t="s">
        <v>386</v>
      </c>
      <c r="C51" t="s">
        <v>368</v>
      </c>
      <c r="D51">
        <v>-9.947598E-14</v>
      </c>
      <c r="E51">
        <v>2.9900000000000003E-17</v>
      </c>
    </row>
    <row r="52" spans="1:5">
      <c r="A52" s="255" t="str">
        <f t="shared" si="0"/>
        <v>USD ZERO FEDFUNDS_2920D</v>
      </c>
      <c r="B52" t="s">
        <v>386</v>
      </c>
      <c r="C52" t="s">
        <v>372</v>
      </c>
      <c r="D52">
        <v>8.0013898463599993E-9</v>
      </c>
    </row>
    <row r="53" spans="1:5">
      <c r="A53" s="255" t="str">
        <f t="shared" si="0"/>
        <v>USD ZERO FEDFUNDS_3285D</v>
      </c>
      <c r="B53" t="s">
        <v>386</v>
      </c>
      <c r="C53" t="s">
        <v>373</v>
      </c>
      <c r="D53" s="257">
        <v>-27846.801783979699</v>
      </c>
      <c r="E53">
        <v>25.107897170195201</v>
      </c>
    </row>
    <row r="54" spans="1:5">
      <c r="A54" s="255" t="str">
        <f t="shared" si="0"/>
        <v>USD ZERO FEDFUNDS_3650D</v>
      </c>
      <c r="B54" t="s">
        <v>386</v>
      </c>
      <c r="C54" t="s">
        <v>374</v>
      </c>
      <c r="D54" s="257">
        <v>-18159.831896031901</v>
      </c>
      <c r="E54">
        <v>20.067034863277499</v>
      </c>
    </row>
    <row r="55" spans="1:5">
      <c r="A55" s="255" t="str">
        <f t="shared" si="0"/>
        <v>USD ZERO FEDFUNDS_4380D</v>
      </c>
      <c r="B55" t="s">
        <v>386</v>
      </c>
      <c r="C55" t="s">
        <v>375</v>
      </c>
      <c r="D55" s="257">
        <v>-26204.6627346811</v>
      </c>
      <c r="E55">
        <v>29.4924628512717</v>
      </c>
    </row>
    <row r="56" spans="1:5">
      <c r="A56" s="255" t="str">
        <f t="shared" si="0"/>
        <v>USD ZERO FEDFUNDS_5475D</v>
      </c>
      <c r="B56" t="s">
        <v>386</v>
      </c>
      <c r="C56" t="s">
        <v>376</v>
      </c>
      <c r="D56">
        <v>-3.7814885066999999E-10</v>
      </c>
      <c r="E56">
        <v>1.2172812758000001E-10</v>
      </c>
    </row>
    <row r="57" spans="1:5">
      <c r="A57" s="255" t="str">
        <f t="shared" si="0"/>
        <v>USD ZERO FEDFUNDS_7300D</v>
      </c>
      <c r="B57" t="s">
        <v>386</v>
      </c>
      <c r="C57" t="s">
        <v>377</v>
      </c>
      <c r="D57">
        <v>-3.1207036954999998E-10</v>
      </c>
      <c r="E57">
        <v>4.6870211999999998E-13</v>
      </c>
    </row>
    <row r="58" spans="1:5">
      <c r="A58" s="255" t="str">
        <f t="shared" si="0"/>
        <v>_</v>
      </c>
    </row>
    <row r="59" spans="1:5">
      <c r="A59" s="255" t="str">
        <f t="shared" si="0"/>
        <v>_</v>
      </c>
    </row>
    <row r="60" spans="1:5">
      <c r="A60" s="255" t="str">
        <f t="shared" si="0"/>
        <v>_</v>
      </c>
    </row>
    <row r="61" spans="1:5">
      <c r="A61" s="255" t="str">
        <f t="shared" si="0"/>
        <v>_</v>
      </c>
    </row>
    <row r="62" spans="1:5">
      <c r="A62" s="255" t="str">
        <f t="shared" si="0"/>
        <v>_</v>
      </c>
    </row>
    <row r="63" spans="1:5">
      <c r="A63" s="255" t="str">
        <f t="shared" si="0"/>
        <v>_</v>
      </c>
    </row>
    <row r="64" spans="1:5">
      <c r="A64" s="255" t="str">
        <f t="shared" si="0"/>
        <v>_</v>
      </c>
    </row>
    <row r="65" spans="1:1">
      <c r="A65" s="255" t="str">
        <f t="shared" si="0"/>
        <v>_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7DD2F47B4C6C41B3937D79D74FBD8E" ma:contentTypeVersion="1" ma:contentTypeDescription="Create a new document." ma:contentTypeScope="" ma:versionID="4ff46ebac1d1f8e4735ab11c3151966e">
  <xsd:schema xmlns:xsd="http://www.w3.org/2001/XMLSchema" xmlns:xs="http://www.w3.org/2001/XMLSchema" xmlns:p="http://schemas.microsoft.com/office/2006/metadata/properties" xmlns:ns2="79cb2d9d-3ee9-4a4e-972f-aca6b1e80dfb" targetNamespace="http://schemas.microsoft.com/office/2006/metadata/properties" ma:root="true" ma:fieldsID="9d264292bde008206fd19f26dfb7c51e" ns2:_="">
    <xsd:import namespace="79cb2d9d-3ee9-4a4e-972f-aca6b1e80dfb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cb2d9d-3ee9-4a4e-972f-aca6b1e80dfb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79cb2d9d-3ee9-4a4e-972f-aca6b1e80dfb">AJNMWCPANXVJ-831-4585</_dlc_DocId>
    <_dlc_DocIdUrl xmlns="79cb2d9d-3ee9-4a4e-972f-aca6b1e80dfb">
      <Url>http://projectserver/SwapClearProgramme/_layouts/DocIdRedir.aspx?ID=AJNMWCPANXVJ-831-4585</Url>
      <Description>AJNMWCPANXVJ-831-4585</Description>
    </_dlc_DocIdUrl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0809CE-DCF9-4510-9C5F-E1713D6507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cb2d9d-3ee9-4a4e-972f-aca6b1e80d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11CDE3-BA6E-4154-AD0D-4B2E25A694F4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2F68150-948A-45F2-9617-D7A6B3A7D450}">
  <ds:schemaRefs>
    <ds:schemaRef ds:uri="http://schemas.microsoft.com/office/2006/metadata/properties"/>
    <ds:schemaRef ds:uri="http://schemas.microsoft.com/office/infopath/2007/PartnerControls"/>
    <ds:schemaRef ds:uri="79cb2d9d-3ee9-4a4e-972f-aca6b1e80dfb"/>
  </ds:schemaRefs>
</ds:datastoreItem>
</file>

<file path=customXml/itemProps4.xml><?xml version="1.0" encoding="utf-8"?>
<ds:datastoreItem xmlns:ds="http://schemas.openxmlformats.org/officeDocument/2006/customXml" ds:itemID="{2F74C1E2-A2A6-420B-A3A8-09B29F0985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42</vt:i4>
      </vt:variant>
    </vt:vector>
  </HeadingPairs>
  <TitlesOfParts>
    <vt:vector size="53" baseType="lpstr">
      <vt:lpstr>Summary</vt:lpstr>
      <vt:lpstr>Pricing</vt:lpstr>
      <vt:lpstr>Sensitivities</vt:lpstr>
      <vt:lpstr>Inflation Sens - Compare</vt:lpstr>
      <vt:lpstr>Interest Rate Sens - Compare</vt:lpstr>
      <vt:lpstr>Curves</vt:lpstr>
      <vt:lpstr>Fixings</vt:lpstr>
      <vt:lpstr>Holidays</vt:lpstr>
      <vt:lpstr>MX PV</vt:lpstr>
      <vt:lpstr>MX Inflation Sensi</vt:lpstr>
      <vt:lpstr>MX IRS Sensi</vt:lpstr>
      <vt:lpstr>EUR_CPIs</vt:lpstr>
      <vt:lpstr>EUR_Disc</vt:lpstr>
      <vt:lpstr>EUR_Fixings</vt:lpstr>
      <vt:lpstr>EUR_INFDates</vt:lpstr>
      <vt:lpstr>EUR_LastCPI</vt:lpstr>
      <vt:lpstr>EUR_LastDate</vt:lpstr>
      <vt:lpstr>EUR_Quotes</vt:lpstr>
      <vt:lpstr>EUR_RefCPI</vt:lpstr>
      <vt:lpstr>EUR_RefDate</vt:lpstr>
      <vt:lpstr>EUR_Seaso</vt:lpstr>
      <vt:lpstr>EURHols</vt:lpstr>
      <vt:lpstr>FR_CPIs</vt:lpstr>
      <vt:lpstr>FR_Fixings</vt:lpstr>
      <vt:lpstr>FR_INFDates</vt:lpstr>
      <vt:lpstr>FR_LastCPI</vt:lpstr>
      <vt:lpstr>FR_LastDate</vt:lpstr>
      <vt:lpstr>FR_Quotes</vt:lpstr>
      <vt:lpstr>FR_RefCPI</vt:lpstr>
      <vt:lpstr>FR_RefDate</vt:lpstr>
      <vt:lpstr>FR_Seaso</vt:lpstr>
      <vt:lpstr>GB_CPIs</vt:lpstr>
      <vt:lpstr>GB_Fixings</vt:lpstr>
      <vt:lpstr>GB_INFDates</vt:lpstr>
      <vt:lpstr>GB_LastCPI</vt:lpstr>
      <vt:lpstr>GB_LastDate</vt:lpstr>
      <vt:lpstr>GB_Quotes</vt:lpstr>
      <vt:lpstr>GB_RefCPI</vt:lpstr>
      <vt:lpstr>GB_RefDate</vt:lpstr>
      <vt:lpstr>GB_Seaso</vt:lpstr>
      <vt:lpstr>GBP_Disc</vt:lpstr>
      <vt:lpstr>GBPHols</vt:lpstr>
      <vt:lpstr>US_CPIs</vt:lpstr>
      <vt:lpstr>US_Fixings</vt:lpstr>
      <vt:lpstr>US_INFDates</vt:lpstr>
      <vt:lpstr>US_LastCPI</vt:lpstr>
      <vt:lpstr>US_LastDate</vt:lpstr>
      <vt:lpstr>US_Quotes</vt:lpstr>
      <vt:lpstr>US_RefCPI</vt:lpstr>
      <vt:lpstr>US_RefDate</vt:lpstr>
      <vt:lpstr>US_Seaso</vt:lpstr>
      <vt:lpstr>USD_Disc</vt:lpstr>
      <vt:lpstr>USDHols</vt:lpstr>
    </vt:vector>
  </TitlesOfParts>
  <Company>LCH. Clearnet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Boudhali</dc:creator>
  <cp:lastModifiedBy>Federica Asnicar</cp:lastModifiedBy>
  <cp:lastPrinted>2013-07-17T08:55:16Z</cp:lastPrinted>
  <dcterms:created xsi:type="dcterms:W3CDTF">2013-07-09T10:04:46Z</dcterms:created>
  <dcterms:modified xsi:type="dcterms:W3CDTF">2013-09-03T14:40:18Z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5ba184cf-4cf7-4755-9534-8d9bf81990aa</vt:lpwstr>
  </property>
  <property fmtid="{D5CDD505-2E9C-101B-9397-08002B2CF9AE}" pid="3" name="ContentTypeId">
    <vt:lpwstr>0x010100617DD2F47B4C6C41B3937D79D74FBD8E</vt:lpwstr>
  </property>
  <property fmtid="{D5CDD505-2E9C-101B-9397-08002B2CF9AE}" pid="4" name="_AdHocReviewCycleID">
    <vt:i4>-953270532</vt:i4>
  </property>
  <property fmtid="{D5CDD505-2E9C-101B-9397-08002B2CF9AE}" pid="5" name="_NewReviewCycle">
    <vt:lpwstr/>
  </property>
  <property fmtid="{D5CDD505-2E9C-101B-9397-08002B2CF9AE}" pid="6" name="_EmailSubject">
    <vt:lpwstr>PV100</vt:lpwstr>
  </property>
  <property fmtid="{D5CDD505-2E9C-101B-9397-08002B2CF9AE}" pid="7" name="_AuthorEmail">
    <vt:lpwstr>Federica.Asnicar@lchclearnet.com</vt:lpwstr>
  </property>
  <property fmtid="{D5CDD505-2E9C-101B-9397-08002B2CF9AE}" pid="8" name="_AuthorEmailDisplayName">
    <vt:lpwstr>Federica Asnicar</vt:lpwstr>
  </property>
</Properties>
</file>