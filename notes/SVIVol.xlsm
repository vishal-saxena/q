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120" yWindow="90" windowWidth="18060" windowHeight="10620"/>
  </bookViews>
  <sheets>
    <sheet name="Chart1" sheetId="3" r:id="rId1"/>
    <sheet name="Volatility" sheetId="2" r:id="rId2"/>
  </sheets>
  <externalReferences>
    <externalReference r:id="rId3"/>
  </externalReferences>
  <definedNames>
    <definedName name="AddNotional">Volatility!$D$5</definedName>
    <definedName name="AvailableFields">#REF!</definedName>
    <definedName name="SelectedField">#REF!</definedName>
    <definedName name="SessionHandle">Volatility!$B$5</definedName>
    <definedName name="VolHandle">Volatility!$L$1</definedName>
  </definedNames>
  <calcPr calcId="125725"/>
</workbook>
</file>

<file path=xl/calcChain.xml><?xml version="1.0" encoding="utf-8"?>
<calcChain xmlns="http://schemas.openxmlformats.org/spreadsheetml/2006/main">
  <c r="B5" i="2"/>
  <c r="L1" l="1"/>
  <c r="L11"/>
  <c r="L27"/>
  <c r="L26"/>
  <c r="L25"/>
  <c r="L21"/>
  <c r="L17"/>
  <c r="L13"/>
  <c r="L22"/>
  <c r="L18"/>
  <c r="L14"/>
  <c r="L12"/>
  <c r="L16"/>
  <c r="L20"/>
  <c r="L24"/>
  <c r="L15"/>
  <c r="L19"/>
  <c r="L23"/>
  <c r="M12" l="1"/>
  <c r="M27"/>
  <c r="M26"/>
  <c r="M25"/>
  <c r="M24"/>
  <c r="M23"/>
  <c r="M22"/>
  <c r="M21"/>
  <c r="M20"/>
  <c r="M19"/>
  <c r="M18"/>
  <c r="M17"/>
  <c r="M16"/>
  <c r="M15"/>
  <c r="M14"/>
  <c r="M13"/>
  <c r="L2"/>
  <c r="L9"/>
  <c r="L8"/>
  <c r="L3"/>
  <c r="L4"/>
  <c r="L6"/>
  <c r="L7"/>
  <c r="L5"/>
  <c r="M5" l="1"/>
  <c r="M7"/>
  <c r="M6"/>
  <c r="M4"/>
  <c r="M3"/>
  <c r="M8"/>
  <c r="M9"/>
  <c r="M2"/>
</calcChain>
</file>

<file path=xl/sharedStrings.xml><?xml version="1.0" encoding="utf-8"?>
<sst xmlns="http://schemas.openxmlformats.org/spreadsheetml/2006/main" count="10" uniqueCount="10">
  <si>
    <t>dir</t>
  </si>
  <si>
    <t>D:/SS/SS</t>
  </si>
  <si>
    <t>asOf</t>
  </si>
  <si>
    <t>id</t>
  </si>
  <si>
    <t>smartSession</t>
  </si>
  <si>
    <t>TimeToExpiry</t>
  </si>
  <si>
    <t>Forward</t>
  </si>
  <si>
    <t>Strike</t>
  </si>
  <si>
    <t>LognormalVol</t>
  </si>
  <si>
    <t>CallPrice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</si>
</sst>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14" fontId="0" fillId="0" borderId="4" xfId="0" applyNumberFormat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barChart>
        <c:barDir val="col"/>
        <c:grouping val="clustered"/>
        <c:ser>
          <c:idx val="0"/>
          <c:order val="0"/>
          <c:val>
            <c:numRef>
              <c:f>Volatility!$E$12:$E$27</c:f>
              <c:numCache>
                <c:formatCode>General</c:formatCode>
                <c:ptCount val="16"/>
                <c:pt idx="0">
                  <c:v>0.12328799999999999</c:v>
                </c:pt>
                <c:pt idx="1">
                  <c:v>0.12328799999999999</c:v>
                </c:pt>
                <c:pt idx="2">
                  <c:v>0.12328799999999999</c:v>
                </c:pt>
                <c:pt idx="3">
                  <c:v>0.12328799999999999</c:v>
                </c:pt>
                <c:pt idx="4">
                  <c:v>0.12328799999999999</c:v>
                </c:pt>
                <c:pt idx="5">
                  <c:v>0.12328799999999999</c:v>
                </c:pt>
                <c:pt idx="6">
                  <c:v>0.12328799999999999</c:v>
                </c:pt>
                <c:pt idx="7">
                  <c:v>0.12328799999999999</c:v>
                </c:pt>
                <c:pt idx="8">
                  <c:v>0.12328799999999999</c:v>
                </c:pt>
                <c:pt idx="9">
                  <c:v>0.12328799999999999</c:v>
                </c:pt>
                <c:pt idx="10">
                  <c:v>0.12328799999999999</c:v>
                </c:pt>
                <c:pt idx="11">
                  <c:v>0.12328799999999999</c:v>
                </c:pt>
                <c:pt idx="12">
                  <c:v>0.12328799999999999</c:v>
                </c:pt>
                <c:pt idx="13">
                  <c:v>0.12328799999999999</c:v>
                </c:pt>
                <c:pt idx="14">
                  <c:v>0.12328799999999999</c:v>
                </c:pt>
                <c:pt idx="15">
                  <c:v>0.12328799999999999</c:v>
                </c:pt>
              </c:numCache>
            </c:numRef>
          </c:val>
        </c:ser>
        <c:ser>
          <c:idx val="1"/>
          <c:order val="1"/>
          <c:val>
            <c:numRef>
              <c:f>Volatility!$F$12:$F$27</c:f>
              <c:numCache>
                <c:formatCode>General</c:formatCode>
                <c:ptCount val="16"/>
                <c:pt idx="0">
                  <c:v>110.595</c:v>
                </c:pt>
                <c:pt idx="1">
                  <c:v>110.595</c:v>
                </c:pt>
                <c:pt idx="2">
                  <c:v>110.595</c:v>
                </c:pt>
                <c:pt idx="3">
                  <c:v>110.595</c:v>
                </c:pt>
                <c:pt idx="4">
                  <c:v>110.595</c:v>
                </c:pt>
                <c:pt idx="5">
                  <c:v>110.595</c:v>
                </c:pt>
                <c:pt idx="6">
                  <c:v>110.595</c:v>
                </c:pt>
                <c:pt idx="7">
                  <c:v>110.595</c:v>
                </c:pt>
                <c:pt idx="8">
                  <c:v>110.595</c:v>
                </c:pt>
                <c:pt idx="9">
                  <c:v>110.595</c:v>
                </c:pt>
                <c:pt idx="10">
                  <c:v>110.595</c:v>
                </c:pt>
                <c:pt idx="11">
                  <c:v>110.595</c:v>
                </c:pt>
                <c:pt idx="12">
                  <c:v>110.595</c:v>
                </c:pt>
                <c:pt idx="13">
                  <c:v>110.595</c:v>
                </c:pt>
                <c:pt idx="14">
                  <c:v>110.595</c:v>
                </c:pt>
                <c:pt idx="15">
                  <c:v>110.595</c:v>
                </c:pt>
              </c:numCache>
            </c:numRef>
          </c:val>
        </c:ser>
        <c:ser>
          <c:idx val="2"/>
          <c:order val="2"/>
          <c:val>
            <c:numRef>
              <c:f>Volatility!$G$12:$G$27</c:f>
              <c:numCache>
                <c:formatCode>General</c:formatCode>
                <c:ptCount val="16"/>
                <c:pt idx="0">
                  <c:v>109.9</c:v>
                </c:pt>
                <c:pt idx="1">
                  <c:v>110</c:v>
                </c:pt>
                <c:pt idx="2">
                  <c:v>110.1</c:v>
                </c:pt>
                <c:pt idx="3">
                  <c:v>110.2</c:v>
                </c:pt>
                <c:pt idx="4">
                  <c:v>110.3</c:v>
                </c:pt>
                <c:pt idx="5">
                  <c:v>110.4</c:v>
                </c:pt>
                <c:pt idx="6">
                  <c:v>110.5</c:v>
                </c:pt>
                <c:pt idx="7">
                  <c:v>110.595</c:v>
                </c:pt>
                <c:pt idx="8">
                  <c:v>110.6</c:v>
                </c:pt>
                <c:pt idx="9">
                  <c:v>110.7</c:v>
                </c:pt>
                <c:pt idx="10">
                  <c:v>110.8</c:v>
                </c:pt>
                <c:pt idx="11">
                  <c:v>110.9</c:v>
                </c:pt>
                <c:pt idx="12">
                  <c:v>111</c:v>
                </c:pt>
                <c:pt idx="13">
                  <c:v>111.1</c:v>
                </c:pt>
                <c:pt idx="14">
                  <c:v>111.2</c:v>
                </c:pt>
                <c:pt idx="15">
                  <c:v>111.3</c:v>
                </c:pt>
              </c:numCache>
            </c:numRef>
          </c:val>
        </c:ser>
        <c:ser>
          <c:idx val="3"/>
          <c:order val="3"/>
          <c:val>
            <c:numRef>
              <c:f>Volatility!$H$12:$H$27</c:f>
              <c:numCache>
                <c:formatCode>General</c:formatCode>
                <c:ptCount val="16"/>
                <c:pt idx="0">
                  <c:v>4.8640000000000003E-3</c:v>
                </c:pt>
                <c:pt idx="1">
                  <c:v>4.7330000000000002E-3</c:v>
                </c:pt>
                <c:pt idx="2">
                  <c:v>4.5999999999999999E-3</c:v>
                </c:pt>
                <c:pt idx="3">
                  <c:v>4.4660000000000004E-3</c:v>
                </c:pt>
                <c:pt idx="4">
                  <c:v>4.3319999999999999E-3</c:v>
                </c:pt>
                <c:pt idx="5">
                  <c:v>4.1980000000000003E-3</c:v>
                </c:pt>
                <c:pt idx="6">
                  <c:v>4.065E-3</c:v>
                </c:pt>
                <c:pt idx="7">
                  <c:v>3.9420000000000002E-3</c:v>
                </c:pt>
                <c:pt idx="8">
                  <c:v>3.9350000000000001E-3</c:v>
                </c:pt>
                <c:pt idx="9">
                  <c:v>3.81E-3</c:v>
                </c:pt>
                <c:pt idx="10">
                  <c:v>3.692E-3</c:v>
                </c:pt>
                <c:pt idx="11">
                  <c:v>3.5839999999999999E-3</c:v>
                </c:pt>
                <c:pt idx="12">
                  <c:v>3.4880000000000002E-3</c:v>
                </c:pt>
                <c:pt idx="13">
                  <c:v>3.4060000000000002E-3</c:v>
                </c:pt>
                <c:pt idx="14">
                  <c:v>3.3409999999999998E-3</c:v>
                </c:pt>
                <c:pt idx="15">
                  <c:v>3.2929999999999999E-3</c:v>
                </c:pt>
              </c:numCache>
            </c:numRef>
          </c:val>
        </c:ser>
        <c:ser>
          <c:idx val="4"/>
          <c:order val="4"/>
          <c:val>
            <c:numRef>
              <c:f>Volatility!$I$12:$I$27</c:f>
              <c:numCache>
                <c:formatCode>General</c:formatCode>
                <c:ptCount val="16"/>
                <c:pt idx="0">
                  <c:v>0.69500499999999998</c:v>
                </c:pt>
                <c:pt idx="1">
                  <c:v>0.59502900000000003</c:v>
                </c:pt>
                <c:pt idx="2">
                  <c:v>0.49514599999999998</c:v>
                </c:pt>
                <c:pt idx="3">
                  <c:v>0.39566899999999999</c:v>
                </c:pt>
                <c:pt idx="4">
                  <c:v>0.29767700000000002</c:v>
                </c:pt>
                <c:pt idx="5">
                  <c:v>0.20418900000000001</c:v>
                </c:pt>
                <c:pt idx="6">
                  <c:v>0.121527</c:v>
                </c:pt>
                <c:pt idx="7">
                  <c:v>6.1065000000000001E-2</c:v>
                </c:pt>
                <c:pt idx="8">
                  <c:v>5.8500000000000003E-2</c:v>
                </c:pt>
                <c:pt idx="9">
                  <c:v>2.0819000000000001E-2</c:v>
                </c:pt>
                <c:pt idx="10">
                  <c:v>4.9399999999999999E-3</c:v>
                </c:pt>
                <c:pt idx="11">
                  <c:v>7.0299999999999996E-4</c:v>
                </c:pt>
                <c:pt idx="12">
                  <c:v>5.5000000000000002E-5</c:v>
                </c:pt>
                <c:pt idx="13">
                  <c:v>1.9999999999999999E-6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axId val="66004480"/>
        <c:axId val="66006016"/>
      </c:barChart>
      <c:catAx>
        <c:axId val="66004480"/>
        <c:scaling>
          <c:orientation val="minMax"/>
        </c:scaling>
        <c:axPos val="b"/>
        <c:tickLblPos val="nextTo"/>
        <c:crossAx val="66006016"/>
        <c:crosses val="autoZero"/>
        <c:auto val="1"/>
        <c:lblAlgn val="ctr"/>
        <c:lblOffset val="100"/>
      </c:catAx>
      <c:valAx>
        <c:axId val="66006016"/>
        <c:scaling>
          <c:orientation val="minMax"/>
        </c:scaling>
        <c:axPos val="l"/>
        <c:majorGridlines/>
        <c:numFmt formatCode="General" sourceLinked="1"/>
        <c:tickLblPos val="nextTo"/>
        <c:crossAx val="66004480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tabSelected="1" zoomScale="11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823" cy="628978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MART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radeValuation"/>
      <sheetName val="Volatility"/>
    </sheetNames>
    <definedNames>
      <definedName name="createSession"/>
      <definedName name="createSVIVolCurve"/>
      <definedName name="getVol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M27"/>
  <sheetViews>
    <sheetView workbookViewId="0">
      <selection activeCell="H11" sqref="H11"/>
    </sheetView>
  </sheetViews>
  <sheetFormatPr defaultRowHeight="15"/>
  <cols>
    <col min="1" max="1" width="2.42578125" customWidth="1"/>
    <col min="3" max="3" width="32.85546875" customWidth="1"/>
    <col min="5" max="5" width="12.5703125" customWidth="1"/>
    <col min="8" max="8" width="25" customWidth="1"/>
    <col min="13" max="13" width="12" bestFit="1" customWidth="1"/>
  </cols>
  <sheetData>
    <row r="1" spans="2:13">
      <c r="E1" t="s">
        <v>5</v>
      </c>
      <c r="F1" t="s">
        <v>6</v>
      </c>
      <c r="G1" t="s">
        <v>7</v>
      </c>
      <c r="H1" t="s">
        <v>8</v>
      </c>
      <c r="I1" t="s">
        <v>9</v>
      </c>
      <c r="L1" t="str">
        <f>[1]!createSVIVolCurve("vol", SessionHandle,E2,F2,G2:G9,I2:I9, "CallPrices")</f>
        <v>vol:Volatility!$L$1::11:Time Calc(0.0) Sheet(0.016)</v>
      </c>
    </row>
    <row r="2" spans="2:13">
      <c r="B2" s="4" t="s">
        <v>3</v>
      </c>
      <c r="C2" s="1" t="s">
        <v>4</v>
      </c>
      <c r="E2">
        <v>2.7397000000000001E-2</v>
      </c>
      <c r="F2">
        <v>110.595</v>
      </c>
      <c r="G2">
        <v>110.3</v>
      </c>
      <c r="H2">
        <v>5.2760000000000003E-3</v>
      </c>
      <c r="I2">
        <v>0.29503000000000001</v>
      </c>
      <c r="L2">
        <f>[1]!getVol(VolHandle, SessionHandle, E2,G2)</f>
        <v>5.2766420313050963E-3</v>
      </c>
      <c r="M2">
        <f>L2-H2</f>
        <v>6.4203130509601913E-7</v>
      </c>
    </row>
    <row r="3" spans="2:13">
      <c r="B3" s="2" t="s">
        <v>2</v>
      </c>
      <c r="C3" s="7">
        <v>41278</v>
      </c>
      <c r="E3">
        <v>2.7397000000000001E-2</v>
      </c>
      <c r="F3">
        <v>110.595</v>
      </c>
      <c r="G3">
        <v>110.4</v>
      </c>
      <c r="H3">
        <v>4.8240000000000002E-3</v>
      </c>
      <c r="I3">
        <v>0.19541900000000001</v>
      </c>
      <c r="L3">
        <f>[1]!getVol(VolHandle, SessionHandle, E3,G3)</f>
        <v>4.8243367662583071E-3</v>
      </c>
      <c r="M3">
        <f t="shared" ref="M3:M9" si="0">L3-H3</f>
        <v>3.36766258306892E-7</v>
      </c>
    </row>
    <row r="4" spans="2:13">
      <c r="B4" s="2" t="s">
        <v>0</v>
      </c>
      <c r="C4" s="3" t="s">
        <v>1</v>
      </c>
      <c r="E4">
        <v>2.7397000000000001E-2</v>
      </c>
      <c r="F4">
        <v>110.595</v>
      </c>
      <c r="G4">
        <v>110.5</v>
      </c>
      <c r="H4">
        <v>4.4710000000000001E-3</v>
      </c>
      <c r="I4">
        <v>9.9964999999999998E-2</v>
      </c>
      <c r="L4">
        <f>[1]!getVol(VolHandle, SessionHandle, E4,G4)</f>
        <v>4.4706141211393723E-3</v>
      </c>
      <c r="M4">
        <f t="shared" si="0"/>
        <v>-3.8587886062781823E-7</v>
      </c>
    </row>
    <row r="5" spans="2:13">
      <c r="B5" s="5" t="str">
        <f>[1]!createSession(C2, C3, C4)</f>
        <v>smartSession:Volatility!$B$5::9:Time Calc(0.0)</v>
      </c>
      <c r="C5" s="6"/>
      <c r="E5">
        <v>2.7397000000000001E-2</v>
      </c>
      <c r="F5">
        <v>110.595</v>
      </c>
      <c r="G5">
        <v>110.595</v>
      </c>
      <c r="H5">
        <v>4.4299999999999999E-3</v>
      </c>
      <c r="I5">
        <v>3.2351999999999999E-2</v>
      </c>
      <c r="L5">
        <f>[1]!getVol(VolHandle, SessionHandle, E5,G5)</f>
        <v>4.4300254135637412E-3</v>
      </c>
      <c r="M5">
        <f t="shared" si="0"/>
        <v>2.5413563741263911E-8</v>
      </c>
    </row>
    <row r="6" spans="2:13">
      <c r="E6">
        <v>2.7397000000000001E-2</v>
      </c>
      <c r="F6">
        <v>110.595</v>
      </c>
      <c r="G6">
        <v>110.6</v>
      </c>
      <c r="H6">
        <v>4.4390000000000002E-3</v>
      </c>
      <c r="I6">
        <v>2.9982999999999999E-2</v>
      </c>
      <c r="L6">
        <f>[1]!getVol(VolHandle, SessionHandle, E6,G6)</f>
        <v>4.439467865153964E-3</v>
      </c>
      <c r="M6">
        <f t="shared" si="0"/>
        <v>4.6786515396374934E-7</v>
      </c>
    </row>
    <row r="7" spans="2:13">
      <c r="E7">
        <v>2.7397000000000001E-2</v>
      </c>
      <c r="F7">
        <v>110.595</v>
      </c>
      <c r="G7">
        <v>110.7</v>
      </c>
      <c r="H7">
        <v>4.8190000000000004E-3</v>
      </c>
      <c r="I7">
        <v>5.0559999999999997E-3</v>
      </c>
      <c r="L7">
        <f>[1]!getVol(VolHandle, SessionHandle, E7,G7)</f>
        <v>4.818722259244919E-3</v>
      </c>
      <c r="M7">
        <f t="shared" si="0"/>
        <v>-2.777407550813224E-7</v>
      </c>
    </row>
    <row r="8" spans="2:13">
      <c r="E8">
        <v>2.7397000000000001E-2</v>
      </c>
      <c r="F8">
        <v>110.595</v>
      </c>
      <c r="G8">
        <v>110.8</v>
      </c>
      <c r="H8">
        <v>5.3680000000000004E-3</v>
      </c>
      <c r="I8">
        <v>6.6399999999999999E-4</v>
      </c>
      <c r="L8">
        <f>[1]!getVol(VolHandle, SessionHandle, E8,G8)</f>
        <v>5.3679924924598449E-3</v>
      </c>
      <c r="M8">
        <f t="shared" si="0"/>
        <v>-7.5075401555213528E-9</v>
      </c>
    </row>
    <row r="9" spans="2:13">
      <c r="E9">
        <v>2.7397000000000001E-2</v>
      </c>
      <c r="F9">
        <v>110.595</v>
      </c>
      <c r="G9">
        <v>110.9</v>
      </c>
      <c r="H9">
        <v>5.934E-3</v>
      </c>
      <c r="I9">
        <v>8.2000000000000001E-5</v>
      </c>
      <c r="L9">
        <f>[1]!getVol(VolHandle, SessionHandle, E9,G9)</f>
        <v>5.9344522030102334E-3</v>
      </c>
      <c r="M9">
        <f t="shared" si="0"/>
        <v>4.5220301023336795E-7</v>
      </c>
    </row>
    <row r="11" spans="2:13">
      <c r="L11" t="str">
        <f>[1]!createSVIVolCurve("vol", SessionHandle,E12,F12,G12:G27,I12:I27, "CallPrices")</f>
        <v>vol:Volatility!$L$11::19:Time Calc(0.001) Sheet(0)</v>
      </c>
    </row>
    <row r="12" spans="2:13">
      <c r="E12">
        <v>0.12328799999999999</v>
      </c>
      <c r="F12">
        <v>110.595</v>
      </c>
      <c r="G12">
        <v>109.9</v>
      </c>
      <c r="H12">
        <v>4.8640000000000003E-3</v>
      </c>
      <c r="I12">
        <v>0.69500499999999998</v>
      </c>
      <c r="L12">
        <f>[1]!getVol(L$11, SessionHandle, E12,G12)</f>
        <v>4.8645779864832563E-3</v>
      </c>
      <c r="M12">
        <f t="shared" ref="M12:M27" si="1">L12-H12</f>
        <v>5.7798648325606272E-7</v>
      </c>
    </row>
    <row r="13" spans="2:13">
      <c r="E13">
        <v>0.12328799999999999</v>
      </c>
      <c r="F13">
        <v>110.595</v>
      </c>
      <c r="G13">
        <v>110</v>
      </c>
      <c r="H13">
        <v>4.7330000000000002E-3</v>
      </c>
      <c r="I13">
        <v>0.59502900000000003</v>
      </c>
      <c r="L13">
        <f>[1]!getVol(L$11, SessionHandle, E13,G13)</f>
        <v>4.7331090583564335E-3</v>
      </c>
      <c r="M13">
        <f t="shared" si="1"/>
        <v>1.0905835643327394E-7</v>
      </c>
    </row>
    <row r="14" spans="2:13">
      <c r="E14">
        <v>0.12328799999999999</v>
      </c>
      <c r="F14">
        <v>110.595</v>
      </c>
      <c r="G14">
        <v>110.1</v>
      </c>
      <c r="H14">
        <v>4.5999999999999999E-3</v>
      </c>
      <c r="I14">
        <v>0.49514599999999998</v>
      </c>
      <c r="L14">
        <f>[1]!getVol(L$11, SessionHandle, E14,G14)</f>
        <v>4.6002489080200874E-3</v>
      </c>
      <c r="M14">
        <f t="shared" si="1"/>
        <v>2.4890802008750712E-7</v>
      </c>
    </row>
    <row r="15" spans="2:13">
      <c r="E15">
        <v>0.12328799999999999</v>
      </c>
      <c r="F15">
        <v>110.595</v>
      </c>
      <c r="G15">
        <v>110.2</v>
      </c>
      <c r="H15">
        <v>4.4660000000000004E-3</v>
      </c>
      <c r="I15">
        <v>0.39566899999999999</v>
      </c>
      <c r="L15">
        <f>[1]!getVol(L$11, SessionHandle, E15,G15)</f>
        <v>4.466364360137069E-3</v>
      </c>
      <c r="M15">
        <f t="shared" si="1"/>
        <v>3.6436013706869774E-7</v>
      </c>
    </row>
    <row r="16" spans="2:13">
      <c r="E16">
        <v>0.12328799999999999</v>
      </c>
      <c r="F16">
        <v>110.595</v>
      </c>
      <c r="G16">
        <v>110.3</v>
      </c>
      <c r="H16">
        <v>4.3319999999999999E-3</v>
      </c>
      <c r="I16">
        <v>0.29767700000000002</v>
      </c>
      <c r="L16">
        <f>[1]!getVol(L$11, SessionHandle, E16,G16)</f>
        <v>4.3319958154805042E-3</v>
      </c>
      <c r="M16">
        <f t="shared" si="1"/>
        <v>-4.1845194956660614E-9</v>
      </c>
    </row>
    <row r="17" spans="5:13">
      <c r="E17">
        <v>0.12328799999999999</v>
      </c>
      <c r="F17">
        <v>110.595</v>
      </c>
      <c r="G17">
        <v>110.4</v>
      </c>
      <c r="H17">
        <v>4.1980000000000003E-3</v>
      </c>
      <c r="I17">
        <v>0.20418900000000001</v>
      </c>
      <c r="L17">
        <f>[1]!getVol(L$11, SessionHandle, E17,G17)</f>
        <v>4.197917464235118E-3</v>
      </c>
      <c r="M17">
        <f t="shared" si="1"/>
        <v>-8.2535764882318841E-8</v>
      </c>
    </row>
    <row r="18" spans="5:13">
      <c r="E18">
        <v>0.12328799999999999</v>
      </c>
      <c r="F18">
        <v>110.595</v>
      </c>
      <c r="G18">
        <v>110.5</v>
      </c>
      <c r="H18">
        <v>4.065E-3</v>
      </c>
      <c r="I18">
        <v>0.121527</v>
      </c>
      <c r="L18">
        <f>[1]!getVol(L$11, SessionHandle, E18,G18)</f>
        <v>4.0652092361535318E-3</v>
      </c>
      <c r="M18">
        <f t="shared" si="1"/>
        <v>2.0923615353177216E-7</v>
      </c>
    </row>
    <row r="19" spans="5:13">
      <c r="E19">
        <v>0.12328799999999999</v>
      </c>
      <c r="F19">
        <v>110.595</v>
      </c>
      <c r="G19">
        <v>110.595</v>
      </c>
      <c r="H19">
        <v>3.9420000000000002E-3</v>
      </c>
      <c r="I19">
        <v>6.1065000000000001E-2</v>
      </c>
      <c r="L19">
        <f>[1]!getVol(L$11, SessionHandle, E19,G19)</f>
        <v>3.9417313794155003E-3</v>
      </c>
      <c r="M19">
        <f t="shared" si="1"/>
        <v>-2.68620584499904E-7</v>
      </c>
    </row>
    <row r="20" spans="5:13">
      <c r="E20">
        <v>0.12328799999999999</v>
      </c>
      <c r="F20">
        <v>110.595</v>
      </c>
      <c r="G20">
        <v>110.6</v>
      </c>
      <c r="H20">
        <v>3.9350000000000001E-3</v>
      </c>
      <c r="I20">
        <v>5.8500000000000003E-2</v>
      </c>
      <c r="L20">
        <f>[1]!getVol(L$11, SessionHandle, E20,G20)</f>
        <v>3.9353322545203229E-3</v>
      </c>
      <c r="M20">
        <f t="shared" si="1"/>
        <v>3.3225452032280972E-7</v>
      </c>
    </row>
    <row r="21" spans="5:13">
      <c r="E21">
        <v>0.12328799999999999</v>
      </c>
      <c r="F21">
        <v>110.595</v>
      </c>
      <c r="G21">
        <v>110.7</v>
      </c>
      <c r="H21">
        <v>3.81E-3</v>
      </c>
      <c r="I21">
        <v>2.0819000000000001E-2</v>
      </c>
      <c r="L21">
        <f>[1]!getVol(L$11, SessionHandle, E21,G21)</f>
        <v>3.8101865777215786E-3</v>
      </c>
      <c r="M21">
        <f t="shared" si="1"/>
        <v>1.8657772157858535E-7</v>
      </c>
    </row>
    <row r="22" spans="5:13">
      <c r="E22">
        <v>0.12328799999999999</v>
      </c>
      <c r="F22">
        <v>110.595</v>
      </c>
      <c r="G22">
        <v>110.8</v>
      </c>
      <c r="H22">
        <v>3.692E-3</v>
      </c>
      <c r="I22">
        <v>4.9399999999999999E-3</v>
      </c>
      <c r="L22">
        <f>[1]!getVol(L$11, SessionHandle, E22,G22)</f>
        <v>3.6921109899087819E-3</v>
      </c>
      <c r="M22">
        <f t="shared" si="1"/>
        <v>1.109899087818958E-7</v>
      </c>
    </row>
    <row r="23" spans="5:13">
      <c r="E23">
        <v>0.12328799999999999</v>
      </c>
      <c r="F23">
        <v>110.595</v>
      </c>
      <c r="G23">
        <v>110.9</v>
      </c>
      <c r="H23">
        <v>3.5839999999999999E-3</v>
      </c>
      <c r="I23">
        <v>7.0299999999999996E-4</v>
      </c>
      <c r="L23">
        <f>[1]!getVol(L$11, SessionHandle, E23,G23)</f>
        <v>3.583767938281076E-3</v>
      </c>
      <c r="M23">
        <f t="shared" si="1"/>
        <v>-2.3206171892399194E-7</v>
      </c>
    </row>
    <row r="24" spans="5:13">
      <c r="E24">
        <v>0.12328799999999999</v>
      </c>
      <c r="F24">
        <v>110.595</v>
      </c>
      <c r="G24">
        <v>111</v>
      </c>
      <c r="H24">
        <v>3.4880000000000002E-3</v>
      </c>
      <c r="I24">
        <v>5.5000000000000002E-5</v>
      </c>
      <c r="L24">
        <f>[1]!getVol(L$11, SessionHandle, E24,G24)</f>
        <v>3.4878654201327235E-3</v>
      </c>
      <c r="M24">
        <f t="shared" si="1"/>
        <v>-1.3457986727674967E-7</v>
      </c>
    </row>
    <row r="25" spans="5:13">
      <c r="E25">
        <v>0.12328799999999999</v>
      </c>
      <c r="F25">
        <v>110.595</v>
      </c>
      <c r="G25">
        <v>111.1</v>
      </c>
      <c r="H25">
        <v>3.4060000000000002E-3</v>
      </c>
      <c r="I25">
        <v>1.9999999999999999E-6</v>
      </c>
      <c r="L25">
        <f>[1]!getVol(L$11, SessionHandle, E25,G25)</f>
        <v>3.4067302029607113E-3</v>
      </c>
      <c r="M25">
        <f t="shared" si="1"/>
        <v>7.3020296071117305E-7</v>
      </c>
    </row>
    <row r="26" spans="5:13">
      <c r="E26">
        <v>0.12328799999999999</v>
      </c>
      <c r="F26">
        <v>110.595</v>
      </c>
      <c r="G26">
        <v>111.2</v>
      </c>
      <c r="H26">
        <v>3.3409999999999998E-3</v>
      </c>
      <c r="I26">
        <v>0</v>
      </c>
      <c r="L26">
        <f>[1]!getVol(L$11, SessionHandle, E26,G26)</f>
        <v>3.3418552909204543E-3</v>
      </c>
      <c r="M26">
        <f t="shared" si="1"/>
        <v>8.5529092045451977E-7</v>
      </c>
    </row>
    <row r="27" spans="5:13">
      <c r="E27">
        <v>0.12328799999999999</v>
      </c>
      <c r="F27">
        <v>110.595</v>
      </c>
      <c r="G27">
        <v>111.3</v>
      </c>
      <c r="H27">
        <v>3.2929999999999999E-3</v>
      </c>
      <c r="I27">
        <v>0</v>
      </c>
      <c r="L27">
        <f>[1]!getVol(L$11, SessionHandle, E27,G27)</f>
        <v>3.2936160102570644E-3</v>
      </c>
      <c r="M27">
        <f t="shared" si="1"/>
        <v>6.1601025706445323E-7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Volatility</vt:lpstr>
      <vt:lpstr>Chart1</vt:lpstr>
      <vt:lpstr>AddNotional</vt:lpstr>
      <vt:lpstr>SessionHandle</vt:lpstr>
      <vt:lpstr>VolHandle</vt:lpstr>
    </vt:vector>
  </TitlesOfParts>
  <Company>LCH.Clearnet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Norman</dc:creator>
  <cp:lastModifiedBy>Vishal Saxena</cp:lastModifiedBy>
  <dcterms:created xsi:type="dcterms:W3CDTF">2015-10-14T13:53:37Z</dcterms:created>
  <dcterms:modified xsi:type="dcterms:W3CDTF">2015-10-29T17:45:45Z</dcterms:modified>
</cp:coreProperties>
</file>